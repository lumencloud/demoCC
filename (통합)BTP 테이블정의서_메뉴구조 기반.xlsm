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2" codeName="{00000000-0000-0000-0000-0000000000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skcccorp.sharepoint.com/sites/SKCC.TF.5621/Shared Documents/General/04. BTP 산출물/02. 설계 단계/취합 폴더/"/>
    </mc:Choice>
  </mc:AlternateContent>
  <xr:revisionPtr revIDLastSave="12296" documentId="8_{8A02C8AF-01F1-4AE3-AF53-1F9BAEDE85C8}" xr6:coauthVersionLast="47" xr6:coauthVersionMax="47" xr10:uidLastSave="{87DE8C23-CA48-4319-966E-3B16FBDEF974}"/>
  <bookViews>
    <workbookView minimized="1" xWindow="6450" yWindow="1785" windowWidth="21600" windowHeight="11385" tabRatio="866" firstSheet="51" activeTab="2" xr2:uid="{00000000-000D-0000-FFFF-FFFF00000000}"/>
  </bookViews>
  <sheets>
    <sheet name="ERD" sheetId="91" r:id="rId1"/>
    <sheet name="용어사전" sheetId="88" r:id="rId2"/>
    <sheet name="Index" sheetId="1" r:id="rId3"/>
    <sheet name="공통_version" sheetId="136" r:id="rId4"/>
    <sheet name="공통_version_sfdc" sheetId="139" r:id="rId5"/>
    <sheet name="공통_batch_list" sheetId="153" r:id="rId6"/>
    <sheet name="공통_batch_log" sheetId="152" r:id="rId7"/>
    <sheet name="공통_menu" sheetId="71" r:id="rId8"/>
    <sheet name="공통_code_header" sheetId="109" r:id="rId9"/>
    <sheet name="공통_code_items" sheetId="110" r:id="rId10"/>
    <sheet name="공통_if_gl_account" sheetId="96" r:id="rId11"/>
    <sheet name="공통_if_commitment_item" sheetId="97" r:id="rId12"/>
    <sheet name="공통_gl_account" sheetId="64" r:id="rId13"/>
    <sheet name="공통_commitment_item" sheetId="65" r:id="rId14"/>
    <sheet name="공통_if_org" sheetId="76" r:id="rId15"/>
    <sheet name="공통_org" sheetId="75" r:id="rId16"/>
    <sheet name="공통_if_org_map" sheetId="104" r:id="rId17"/>
    <sheet name="공통_org_map" sheetId="105" r:id="rId18"/>
    <sheet name="공통_customer_type" sheetId="148" r:id="rId19"/>
    <sheet name="공통_if_customer" sheetId="74" r:id="rId20"/>
    <sheet name="공통_customer" sheetId="79" r:id="rId21"/>
    <sheet name="공통_project_platform" sheetId="142" r:id="rId22"/>
    <sheet name="공통_if_project" sheetId="78" r:id="rId23"/>
    <sheet name="공통_project" sheetId="77" r:id="rId24"/>
    <sheet name="공통_dt_task" sheetId="149" r:id="rId25"/>
    <sheet name="공통_if_dt_task" sheetId="150" r:id="rId26"/>
    <sheet name="공통_if_account" sheetId="147" r:id="rId27"/>
    <sheet name="공통_account" sheetId="72" r:id="rId28"/>
    <sheet name="공통_delivery_org" sheetId="69" r:id="rId29"/>
    <sheet name="공통_org_type" sheetId="144" r:id="rId30"/>
    <sheet name="공통_target_account" sheetId="146" r:id="rId31"/>
    <sheet name="공통_target" sheetId="113" r:id="rId32"/>
    <sheet name="수주매출_if_wideview" sheetId="121" r:id="rId33"/>
    <sheet name="수주매출_if_wg" sheetId="106" r:id="rId34"/>
    <sheet name="수주매출_wideview" sheetId="82" r:id="rId35"/>
    <sheet name="수주매출_if_platform" sheetId="108" r:id="rId36"/>
    <sheet name="수주매출_if_sfdc" sheetId="102" r:id="rId37"/>
    <sheet name="수주매출_sfdc_contract" sheetId="123" r:id="rId38"/>
    <sheet name="인력_if_prj_labor" sheetId="33" r:id="rId39"/>
    <sheet name="인력_prj_labor" sheetId="93" r:id="rId40"/>
    <sheet name="인력_if_org_mm" sheetId="119" r:id="rId41"/>
    <sheet name="인력_org_mm" sheetId="120" r:id="rId42"/>
    <sheet name="인력_if_org_total_labor" sheetId="56" r:id="rId43"/>
    <sheet name="인력_org_total_labor" sheetId="94" r:id="rId44"/>
    <sheet name="인력_opp_labor" sheetId="57" r:id="rId45"/>
    <sheet name="외주비_ito_map" sheetId="117" r:id="rId46"/>
    <sheet name="외주비_if_ito" sheetId="114" r:id="rId47"/>
    <sheet name="외주비_ito" sheetId="132" r:id="rId48"/>
    <sheet name="외주비_ito_sfdc" sheetId="131" r:id="rId49"/>
    <sheet name="외주비_wideview" sheetId="116" r:id="rId50"/>
    <sheet name="SG&amp;A(투자)_if_investment" sheetId="61" r:id="rId51"/>
    <sheet name="SG&amp;A(투자)_investment" sheetId="100" r:id="rId52"/>
    <sheet name="SG&amp;A(관리)_expense_co" sheetId="156" r:id="rId53"/>
    <sheet name="SG&amp;A(관리)_if_expense_co" sheetId="155" r:id="rId54"/>
    <sheet name="SG&amp;A(경비)_if_expense" sheetId="80" r:id="rId55"/>
    <sheet name="SG&amp;A(경비)_expense" sheetId="63" r:id="rId56"/>
    <sheet name="SG&amp;A(경비)_expense_view" sheetId="154" r:id="rId57"/>
    <sheet name="SC(자회사)_if_pl" sheetId="107" r:id="rId58"/>
    <sheet name="SC(자회사)_if_expense" sheetId="125" r:id="rId59"/>
    <sheet name="SC(자회사)_expense" sheetId="129" r:id="rId60"/>
    <sheet name="SC(자회사)_if_labor" sheetId="127" r:id="rId61"/>
    <sheet name="SC(자회사)_labor" sheetId="130" r:id="rId62"/>
    <sheet name="SC(자회사)_pl_wideview" sheetId="145" r:id="rId63"/>
    <sheet name="SC(자회사)_wideview" sheetId="128" r:id="rId64"/>
  </sheets>
  <definedNames>
    <definedName name="_xlnm._FilterDatabase" localSheetId="1" hidden="1">용어사전!$B$2:$O$2</definedName>
    <definedName name="_xlnm._FilterDatabase" localSheetId="2" hidden="1">Index!$F$2:$P$64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33" l="1"/>
  <c r="X5" i="1"/>
  <c r="N22" i="153"/>
  <c r="X6" i="1"/>
  <c r="N22" i="152"/>
  <c r="N14" i="150"/>
  <c r="N15" i="150"/>
  <c r="N16" i="150"/>
  <c r="N18" i="149"/>
  <c r="N19" i="149"/>
  <c r="N20" i="149"/>
  <c r="N17" i="148"/>
  <c r="N18" i="148"/>
  <c r="N19" i="148"/>
  <c r="N26" i="139"/>
  <c r="X4" i="1"/>
  <c r="N24" i="136"/>
  <c r="X3" i="1"/>
  <c r="X11" i="1"/>
  <c r="X20" i="1"/>
  <c r="X10" i="1"/>
  <c r="X7" i="1"/>
  <c r="X14" i="1"/>
  <c r="X13" i="1"/>
  <c r="X12" i="1"/>
  <c r="X9" i="1"/>
  <c r="X8" i="1"/>
  <c r="X15" i="1" l="1"/>
  <c r="N18" i="117"/>
  <c r="N19" i="117"/>
  <c r="N20" i="117"/>
  <c r="N18" i="97"/>
  <c r="N17" i="97"/>
  <c r="N16" i="97"/>
  <c r="N13" i="96"/>
  <c r="AA23" i="91"/>
  <c r="AB23" i="91"/>
  <c r="AA24" i="91"/>
  <c r="AB24" i="91"/>
  <c r="AA25" i="91"/>
  <c r="AB25" i="91"/>
  <c r="AA26" i="91"/>
  <c r="AB26" i="91"/>
  <c r="AA27" i="91"/>
  <c r="AB27" i="91"/>
  <c r="AA28" i="91"/>
  <c r="AB28" i="91"/>
  <c r="AA29" i="91"/>
  <c r="AB29" i="91"/>
  <c r="AA30" i="91"/>
  <c r="AB30" i="91"/>
  <c r="AA31" i="91"/>
  <c r="AB31" i="91"/>
  <c r="AA32" i="91"/>
  <c r="AB32" i="91"/>
  <c r="AA33" i="91"/>
  <c r="AB33" i="91"/>
  <c r="AA34" i="91"/>
  <c r="AB34" i="91"/>
  <c r="AA35" i="91"/>
  <c r="AB35" i="91"/>
  <c r="AA36" i="91"/>
  <c r="AB36" i="91"/>
  <c r="AA37" i="91"/>
  <c r="AB37" i="91"/>
  <c r="AA38" i="91"/>
  <c r="AB38" i="91"/>
  <c r="AB22" i="91"/>
  <c r="AA22" i="91"/>
  <c r="N22" i="75"/>
  <c r="N18" i="72"/>
  <c r="N19" i="72"/>
  <c r="N20" i="72"/>
  <c r="N30" i="71"/>
  <c r="N18" i="65"/>
  <c r="N19" i="65"/>
  <c r="N20" i="65"/>
  <c r="N16" i="64"/>
</calcChain>
</file>

<file path=xl/sharedStrings.xml><?xml version="1.0" encoding="utf-8"?>
<sst xmlns="http://schemas.openxmlformats.org/spreadsheetml/2006/main" count="10605" uniqueCount="2792">
  <si>
    <t>if_customer</t>
  </si>
  <si>
    <t>고객사 I/F 테이블</t>
  </si>
  <si>
    <t>if_account</t>
  </si>
  <si>
    <t>ACCOUNT 별 고객사 I/F 테이블</t>
  </si>
  <si>
    <t>gl_account</t>
    <phoneticPr fontId="1" type="noConversion"/>
  </si>
  <si>
    <t>GL 계정 테이블</t>
  </si>
  <si>
    <t>commitment_item</t>
    <phoneticPr fontId="1" type="noConversion"/>
  </si>
  <si>
    <t>약정항목(중계정) 테이블</t>
  </si>
  <si>
    <t>if_org</t>
  </si>
  <si>
    <t>조직 I/F 테이블</t>
  </si>
  <si>
    <t>if_project</t>
  </si>
  <si>
    <t>프로젝트 I/F 테이블</t>
  </si>
  <si>
    <t>menus</t>
  </si>
  <si>
    <t>시스템 메뉴 테이블</t>
  </si>
  <si>
    <t>Field</t>
  </si>
  <si>
    <t>Title</t>
  </si>
  <si>
    <t>if_id</t>
  </si>
  <si>
    <t>UUID</t>
  </si>
  <si>
    <t>gl_account</t>
  </si>
  <si>
    <t>계정코드</t>
  </si>
  <si>
    <t>commitment_item</t>
  </si>
  <si>
    <t>중계정</t>
  </si>
  <si>
    <t>seq</t>
  </si>
  <si>
    <t>Data Count</t>
  </si>
  <si>
    <t>description</t>
  </si>
  <si>
    <t>create_date</t>
  </si>
  <si>
    <t>생성 날짜</t>
  </si>
  <si>
    <t>created_at</t>
  </si>
  <si>
    <t>생성일</t>
  </si>
  <si>
    <t>budget_control</t>
  </si>
  <si>
    <t>통제 여부</t>
  </si>
  <si>
    <t>create_time</t>
  </si>
  <si>
    <t>생성 시간</t>
  </si>
  <si>
    <t>created_by</t>
  </si>
  <si>
    <t>생성자</t>
  </si>
  <si>
    <t>flag</t>
  </si>
  <si>
    <t>인터페이스 상태</t>
  </si>
  <si>
    <t>modified_at</t>
  </si>
  <si>
    <t>수정일</t>
  </si>
  <si>
    <t>id</t>
  </si>
  <si>
    <t>BZM_고객사_ID</t>
  </si>
  <si>
    <t>account_cd</t>
  </si>
  <si>
    <t>account 코드</t>
  </si>
  <si>
    <t>modified_by</t>
  </si>
  <si>
    <t>수정자</t>
  </si>
  <si>
    <t>BZM_조직_ID</t>
  </si>
  <si>
    <t>prj_no</t>
  </si>
  <si>
    <t>프로젝트_번호</t>
  </si>
  <si>
    <t>erp_cstco_cd</t>
  </si>
  <si>
    <t>ERP_고객사_코드</t>
  </si>
  <si>
    <t>account_name</t>
  </si>
  <si>
    <t>account 이름</t>
  </si>
  <si>
    <t>org_cd</t>
  </si>
  <si>
    <t>조직_코드</t>
  </si>
  <si>
    <t>sell_sls_cnrc_no</t>
  </si>
  <si>
    <t>판매_영업_계약_번호</t>
  </si>
  <si>
    <t>cstco_nm</t>
  </si>
  <si>
    <t>고객사_명</t>
  </si>
  <si>
    <t>cstco_id</t>
  </si>
  <si>
    <t>고객사 id</t>
  </si>
  <si>
    <t>org_kor_nm</t>
  </si>
  <si>
    <t>조직_한글_명</t>
  </si>
  <si>
    <t>rodr_esmt_ym</t>
  </si>
  <si>
    <t>수주_추정_년월</t>
  </si>
  <si>
    <t>cstco_rpstr_nm</t>
  </si>
  <si>
    <t>고객사_대표자_명</t>
  </si>
  <si>
    <t>use_yn</t>
  </si>
  <si>
    <t>사용여부</t>
  </si>
  <si>
    <t>dp_no</t>
  </si>
  <si>
    <t>DP_번호</t>
  </si>
  <si>
    <t>brno</t>
  </si>
  <si>
    <t>사업자등록번호</t>
  </si>
  <si>
    <t>sort_no</t>
  </si>
  <si>
    <t>정렬순서</t>
  </si>
  <si>
    <t>prj_nm</t>
  </si>
  <si>
    <t>프로젝트_명</t>
  </si>
  <si>
    <t>bztp_div_rcid</t>
  </si>
  <si>
    <t>업종_구분_RCID</t>
  </si>
  <si>
    <t>cstco_rid</t>
  </si>
  <si>
    <t>고객사_RID</t>
  </si>
  <si>
    <t>relsco_yn</t>
  </si>
  <si>
    <t>관계사_여부</t>
  </si>
  <si>
    <t>rodr_sctr_org_rid</t>
  </si>
  <si>
    <t>수주_부문_조직_RID</t>
  </si>
  <si>
    <t>erp_pbl_div_rcid</t>
  </si>
  <si>
    <t>ERP_공공_구분_RCID</t>
  </si>
  <si>
    <t>rodr_hdqt_org_rid</t>
  </si>
  <si>
    <t>수주_본부_조직_RID</t>
  </si>
  <si>
    <t>사용_여부</t>
  </si>
  <si>
    <t>com_org</t>
  </si>
  <si>
    <t>조직 공통 테이블</t>
  </si>
  <si>
    <t>rodr_org_rid</t>
  </si>
  <si>
    <t>수주_조직_RID</t>
  </si>
  <si>
    <t>고객사_ID</t>
  </si>
  <si>
    <t>sale_sctr_org_rid</t>
  </si>
  <si>
    <t>매출_부문_조직_RID</t>
  </si>
  <si>
    <t>sale_hdqt_org_rid</t>
  </si>
  <si>
    <t>매출_본부_조직_RID</t>
  </si>
  <si>
    <t>sale_org_rid</t>
  </si>
  <si>
    <t>매출_조직_RID</t>
  </si>
  <si>
    <t>rodr_cnrc_ym</t>
  </si>
  <si>
    <t>수주_계약_년월</t>
  </si>
  <si>
    <t>org_eng_nm</t>
  </si>
  <si>
    <t>조직_영문_명</t>
  </si>
  <si>
    <t>prj_prfm_end_dt</t>
  </si>
  <si>
    <t>프로젝트_수행_종료_일자</t>
  </si>
  <si>
    <t>org_abbr_nm</t>
  </si>
  <si>
    <t>조직_약어_명</t>
  </si>
  <si>
    <t>prj_prfm_str_dt</t>
  </si>
  <si>
    <t>프로젝트_수행_시작_일자</t>
  </si>
  <si>
    <t>upr_org_id</t>
  </si>
  <si>
    <t>상위_조직_ID</t>
  </si>
  <si>
    <t>new_crov_div_rcid</t>
  </si>
  <si>
    <t>신규_이월_구분_RCID</t>
  </si>
  <si>
    <t>org_tp_rcid</t>
  </si>
  <si>
    <t>조직_유형_RCID</t>
  </si>
  <si>
    <t>prj_scr_yn</t>
  </si>
  <si>
    <t>프로젝트_확보_여부</t>
  </si>
  <si>
    <t>customer</t>
    <phoneticPr fontId="1" type="noConversion"/>
  </si>
  <si>
    <t>고객사 공통 테이블</t>
  </si>
  <si>
    <t>account</t>
    <phoneticPr fontId="1" type="noConversion"/>
  </si>
  <si>
    <t>ACCOUNT 별 고객사 테이블</t>
  </si>
  <si>
    <t>ccorg_cd</t>
  </si>
  <si>
    <t>ERP CC조직_코드</t>
  </si>
  <si>
    <t>ovse_biz_yn</t>
  </si>
  <si>
    <t>해외_사업_여부</t>
  </si>
  <si>
    <t>pcorg_cd</t>
  </si>
  <si>
    <t>PC조직_코드</t>
  </si>
  <si>
    <t>cnvg_biz_yn</t>
  </si>
  <si>
    <t>융복합_사업_여부</t>
  </si>
  <si>
    <t>bzcd_nm</t>
  </si>
  <si>
    <t>업태_명</t>
  </si>
  <si>
    <t>bztp_nm</t>
  </si>
  <si>
    <t>업종_명</t>
  </si>
  <si>
    <t>cstco_zpcd</t>
  </si>
  <si>
    <t>고객사_우편번호</t>
  </si>
  <si>
    <t>com_project</t>
  </si>
  <si>
    <t>프로젝트 공통 테이블</t>
  </si>
  <si>
    <t>cstco_addr</t>
  </si>
  <si>
    <t>고객사_주소</t>
  </si>
  <si>
    <t>cstco_crdt_grd_rcid</t>
  </si>
  <si>
    <t>고객사_신용_등급_RCID</t>
  </si>
  <si>
    <t>crdln_amt</t>
  </si>
  <si>
    <t>여신_금액</t>
  </si>
  <si>
    <t>pymp_pay_rcid</t>
  </si>
  <si>
    <t>대금_지급_RCID</t>
  </si>
  <si>
    <t>natn_rcid</t>
  </si>
  <si>
    <t>국가_RCID</t>
  </si>
  <si>
    <t>smla_dmfn_yn</t>
  </si>
  <si>
    <t>유사_대내외_여부</t>
  </si>
  <si>
    <t>cstco_acntg_nm</t>
  </si>
  <si>
    <t>고객사_회계_명</t>
  </si>
  <si>
    <t>cstco_aflc_nm</t>
  </si>
  <si>
    <t>고객사_계열_명</t>
  </si>
  <si>
    <t>cstco_addr_dtl</t>
  </si>
  <si>
    <t>고객사_주소_상세</t>
  </si>
  <si>
    <t>prj_tp_rcid</t>
  </si>
  <si>
    <t>프로젝트_유형_RCID</t>
  </si>
  <si>
    <t>si_os_div_rcid</t>
  </si>
  <si>
    <t>SI_OS_구분_RCID</t>
  </si>
  <si>
    <t>dp_knd_cd</t>
  </si>
  <si>
    <t>DP_종류_코드</t>
  </si>
  <si>
    <t>dev_aplt_dgtr_tech_rcid</t>
  </si>
  <si>
    <t>개발_적용_DT_기술_RCI</t>
  </si>
  <si>
    <t>brand_nm</t>
  </si>
  <si>
    <t>브랜드_명</t>
  </si>
  <si>
    <t>dp_nm</t>
  </si>
  <si>
    <t>DP_명</t>
  </si>
  <si>
    <t>bd_n1_rid</t>
  </si>
  <si>
    <t>비즈니스도메인_1_RID</t>
  </si>
  <si>
    <t>bd_n2_rid</t>
  </si>
  <si>
    <t>비즈니스도메인_2_RID</t>
  </si>
  <si>
    <t>bd_n3_rid</t>
  </si>
  <si>
    <t>비즈니스도메인_3_RID</t>
  </si>
  <si>
    <t>bd_n4_rid</t>
  </si>
  <si>
    <t>비즈니스도메인_4_RID</t>
  </si>
  <si>
    <t>bd_n5_rid</t>
  </si>
  <si>
    <t>비즈니스도메인_5_RID</t>
  </si>
  <si>
    <t>bd_n6_rid</t>
  </si>
  <si>
    <t>비즈니스도메인_6_RID</t>
  </si>
  <si>
    <t>itsm_div_rcid</t>
  </si>
  <si>
    <t>ITSM_구분_RCID</t>
  </si>
  <si>
    <t>dblbk_sctr_org_rid</t>
  </si>
  <si>
    <t>더블부킹_부문_조직_RID</t>
  </si>
  <si>
    <t>dblbk_hdqt_org_rid</t>
  </si>
  <si>
    <t>더블부킹_본부_조직_RID</t>
  </si>
  <si>
    <t>dblbk_org_rid</t>
  </si>
  <si>
    <t>더블부킹_조직_RID</t>
  </si>
  <si>
    <t>dblbk_sale_yn</t>
  </si>
  <si>
    <t>더블부킹_매출_여부</t>
  </si>
  <si>
    <t>rskel_yn</t>
  </si>
  <si>
    <t>리스크_여부</t>
  </si>
  <si>
    <t>cnrc_rskel_cd</t>
  </si>
  <si>
    <t>계약_리스크_코드</t>
  </si>
  <si>
    <t>rskel_tp_rcid</t>
  </si>
  <si>
    <t>리스크_유형_RCID</t>
  </si>
  <si>
    <t>excp_logic_clf_rcid</t>
  </si>
  <si>
    <t>예외_로직_분류_RCID</t>
  </si>
  <si>
    <t>excp_sale_logic_nm</t>
  </si>
  <si>
    <t>예외_매출_로직_명</t>
  </si>
  <si>
    <t>excp_sale_logic_desc</t>
  </si>
  <si>
    <t>예외_매출_로직_설명</t>
  </si>
  <si>
    <t>sctr_dcid_yn</t>
  </si>
  <si>
    <t>부문_확정_여부</t>
  </si>
  <si>
    <t>sctr_dcid_dt</t>
  </si>
  <si>
    <t>부문_확정_일자</t>
  </si>
  <si>
    <t>hdqt_dcid_yn</t>
  </si>
  <si>
    <t>본부_확정_여부</t>
  </si>
  <si>
    <t>hdqt_dcid_dt</t>
  </si>
  <si>
    <t>본부_확정_일자</t>
  </si>
  <si>
    <t>aco_dcid_yn</t>
  </si>
  <si>
    <t>전사_확정_여부</t>
  </si>
  <si>
    <t>aco_dcid_dt</t>
  </si>
  <si>
    <t>전사_확정_일자</t>
  </si>
  <si>
    <t>ver_no</t>
  </si>
  <si>
    <t>버전_번호</t>
  </si>
  <si>
    <t>org_pfls_dcid_yn</t>
  </si>
  <si>
    <t>조직_손익_확정_여부</t>
  </si>
  <si>
    <t>dgtr_tp_rcid</t>
  </si>
  <si>
    <t>DT_유형_RCID</t>
  </si>
  <si>
    <t>dpd_brand_dp_rid</t>
  </si>
  <si>
    <t>DPD_브랜드DP_RID</t>
  </si>
  <si>
    <t>src_div_rcid</t>
  </si>
  <si>
    <t>출처_구분_코드</t>
  </si>
  <si>
    <t>crrn_yn</t>
  </si>
  <si>
    <t>보정_여부</t>
  </si>
  <si>
    <t>sls_prfm_str_dt</t>
  </si>
  <si>
    <t>영업_수행_시작_일자</t>
  </si>
  <si>
    <t>sls_prfm_end_dt</t>
  </si>
  <si>
    <t>영업_수행_종료_일자</t>
  </si>
  <si>
    <t>rmk_cntt</t>
  </si>
  <si>
    <t>비고_내용</t>
  </si>
  <si>
    <t>team_unt_nm</t>
  </si>
  <si>
    <t>팀_단위_명</t>
  </si>
  <si>
    <t>prfm_prjm_rid</t>
  </si>
  <si>
    <t>수행_PM_RID</t>
  </si>
  <si>
    <t>org_ver_rid</t>
  </si>
  <si>
    <t>조직_버전_RID</t>
  </si>
  <si>
    <t>rskel_grd_rcid</t>
  </si>
  <si>
    <t>리스크_등급_RCID</t>
  </si>
  <si>
    <t>qttn_trg_no</t>
  </si>
  <si>
    <t>견적_대상_번호</t>
  </si>
  <si>
    <t>qttn_pblsh_no</t>
  </si>
  <si>
    <t>견적_발행_번호</t>
  </si>
  <si>
    <t>crrn_trg_no</t>
  </si>
  <si>
    <t>보정_사업_번호</t>
  </si>
  <si>
    <t>crrn_cnrc_no</t>
  </si>
  <si>
    <t>보정_계약_번호</t>
  </si>
  <si>
    <t>rspb_sls_org_rid</t>
  </si>
  <si>
    <t>책임_영업_조직_rid</t>
  </si>
  <si>
    <t>account_rid</t>
  </si>
  <si>
    <t>ACCOUNT_RID</t>
  </si>
  <si>
    <t>erp_stts_cd</t>
  </si>
  <si>
    <t>ERP_상태_코드</t>
  </si>
  <si>
    <t>if_wideview</t>
  </si>
  <si>
    <t>매출 장판지 I/F 테이블</t>
  </si>
  <si>
    <t xml:space="preserve">rsp_org_total_labor			</t>
  </si>
  <si>
    <t xml:space="preserve">조직 연도 별 총_인건비 테이블		</t>
  </si>
  <si>
    <t xml:space="preserve">rsp_opp_labor			</t>
  </si>
  <si>
    <t xml:space="preserve">사업기회 별 월 별 인건비 테이블		</t>
  </si>
  <si>
    <t xml:space="preserve">if_sga_investment			</t>
  </si>
  <si>
    <t xml:space="preserve">SG&amp;A 투자 월추정 Interface 테이블		</t>
  </si>
  <si>
    <t xml:space="preserve">if_sga_expense			</t>
  </si>
  <si>
    <t xml:space="preserve">SG&amp;A 경비 월추정 Interface 테이블		</t>
  </si>
  <si>
    <t xml:space="preserve">sga_wideview			</t>
  </si>
  <si>
    <t xml:space="preserve">SG&amp;A 장판지		</t>
  </si>
  <si>
    <t>estm_month</t>
  </si>
  <si>
    <t>추정월</t>
  </si>
  <si>
    <t>biz_opp_no</t>
    <phoneticPr fontId="1" type="noConversion"/>
  </si>
  <si>
    <t>사업기회번호</t>
    <phoneticPr fontId="1" type="noConversion"/>
  </si>
  <si>
    <t>year</t>
  </si>
  <si>
    <t>년</t>
  </si>
  <si>
    <t>연도</t>
    <phoneticPr fontId="0" type="noConversion"/>
  </si>
  <si>
    <t>사업기회 연도</t>
  </si>
  <si>
    <t>month</t>
  </si>
  <si>
    <t>org_id</t>
  </si>
  <si>
    <t>HR 조직 코드</t>
    <phoneticPr fontId="0" type="noConversion"/>
  </si>
  <si>
    <t>sga_type</t>
  </si>
  <si>
    <t>SG&amp;A 타입(LABOR, EXPENSE, INVEST)</t>
  </si>
  <si>
    <t>prj_tp_nm</t>
    <phoneticPr fontId="1" type="noConversion"/>
  </si>
  <si>
    <t>프로젝트 타입명</t>
    <phoneticPr fontId="1" type="noConversion"/>
  </si>
  <si>
    <t>코스트센터</t>
  </si>
  <si>
    <t>total_m1_amt</t>
  </si>
  <si>
    <t>1월_총_인건비</t>
  </si>
  <si>
    <t>prfm_str_dt</t>
  </si>
  <si>
    <t>사업 수행 시작 일자</t>
  </si>
  <si>
    <t>project</t>
  </si>
  <si>
    <t>Project</t>
  </si>
  <si>
    <t>total_m2_amt</t>
  </si>
  <si>
    <t>2월_총_인건비</t>
  </si>
  <si>
    <t>prfm_end_dt</t>
  </si>
  <si>
    <t>사업 수행 종료 일자</t>
  </si>
  <si>
    <t>추정 년</t>
  </si>
  <si>
    <t xml:space="preserve">년 </t>
  </si>
  <si>
    <t>조직코드(HR)</t>
  </si>
  <si>
    <t>wbs</t>
  </si>
  <si>
    <t>WBS</t>
  </si>
  <si>
    <t>total_m3_amt</t>
  </si>
  <si>
    <t>3월_총_인건비</t>
  </si>
  <si>
    <t>obtain_order_amt</t>
  </si>
  <si>
    <t>수주 금액</t>
  </si>
  <si>
    <t>추정 월</t>
  </si>
  <si>
    <t>sga_m1_amt</t>
  </si>
  <si>
    <t>1월 금액</t>
  </si>
  <si>
    <t>fiscal_year</t>
  </si>
  <si>
    <t>Fiscal Year</t>
  </si>
  <si>
    <t>total_m4_amt</t>
  </si>
  <si>
    <t>4월_총_인건비</t>
  </si>
  <si>
    <t>sales_amt</t>
  </si>
  <si>
    <t>매출 금액</t>
  </si>
  <si>
    <t>프로젝트 no.</t>
  </si>
  <si>
    <t>sga_m2_amt</t>
  </si>
  <si>
    <t>2월 금액</t>
  </si>
  <si>
    <t>closing_month</t>
  </si>
  <si>
    <t>Closing Month</t>
  </si>
  <si>
    <t>margin_rate</t>
  </si>
  <si>
    <t>마진율</t>
  </si>
  <si>
    <t>cost_element</t>
  </si>
  <si>
    <t>sga_m3_amt</t>
  </si>
  <si>
    <t>3월 금액</t>
  </si>
  <si>
    <t>version</t>
  </si>
  <si>
    <t>Version </t>
  </si>
  <si>
    <t>opp_m1_amt</t>
  </si>
  <si>
    <t>1월_인건비</t>
  </si>
  <si>
    <t>createdDate</t>
  </si>
  <si>
    <t>Created Date</t>
  </si>
  <si>
    <t>opp_m2_amt</t>
  </si>
  <si>
    <t>2월_인건비</t>
  </si>
  <si>
    <t>exp_1_amt</t>
  </si>
  <si>
    <t>1월 경비 금액</t>
  </si>
  <si>
    <t>createdTime</t>
  </si>
  <si>
    <t>Created Time</t>
  </si>
  <si>
    <t>opp_m3_amt</t>
  </si>
  <si>
    <t>3월_인건비</t>
  </si>
  <si>
    <t>is_asset</t>
  </si>
  <si>
    <t>자산화 여부</t>
  </si>
  <si>
    <t>exp_2_amt</t>
  </si>
  <si>
    <t>2월 경비 금액</t>
  </si>
  <si>
    <t>Created By</t>
  </si>
  <si>
    <t>opp_m4_amt</t>
  </si>
  <si>
    <t>4월_인건비</t>
  </si>
  <si>
    <t>amt_type</t>
  </si>
  <si>
    <t>비용/Cash 여부</t>
  </si>
  <si>
    <t>exp_3_amt</t>
  </si>
  <si>
    <t>3월 경비 금액</t>
  </si>
  <si>
    <t>project_desc</t>
  </si>
  <si>
    <t>Project Desc.</t>
  </si>
  <si>
    <t>opp_m5_amt</t>
  </si>
  <si>
    <t>5월_인건비</t>
  </si>
  <si>
    <t>iv_m1_amt</t>
  </si>
  <si>
    <t>1월</t>
  </si>
  <si>
    <t>exp_4_amt</t>
  </si>
  <si>
    <t>4월 경비 금액</t>
  </si>
  <si>
    <t>wbsdesc</t>
  </si>
  <si>
    <t>WBS Desc.</t>
  </si>
  <si>
    <t>opp_m6_amt</t>
  </si>
  <si>
    <t>6월_인건비</t>
  </si>
  <si>
    <t>iv_m2_amt</t>
  </si>
  <si>
    <t>2월</t>
  </si>
  <si>
    <t>exp_5_amt</t>
  </si>
  <si>
    <t>5월 경비 금액</t>
  </si>
  <si>
    <t>status</t>
  </si>
  <si>
    <t>Status</t>
  </si>
  <si>
    <t>opp_m7_amt</t>
  </si>
  <si>
    <t>7월_인건비</t>
  </si>
  <si>
    <t>iv_m3_amt</t>
  </si>
  <si>
    <t>3월</t>
  </si>
  <si>
    <t>exp_6_amt</t>
  </si>
  <si>
    <t>6월 경비 금액</t>
  </si>
  <si>
    <t>pm</t>
  </si>
  <si>
    <t>PM</t>
  </si>
  <si>
    <t>opp_m8_amt</t>
  </si>
  <si>
    <t>8월_인건비</t>
  </si>
  <si>
    <t>iv_m4_amt</t>
  </si>
  <si>
    <t>4월</t>
  </si>
  <si>
    <t>exp_7_amt</t>
  </si>
  <si>
    <t>7월 경비 금액</t>
  </si>
  <si>
    <t>project_type</t>
  </si>
  <si>
    <t>ProjectType</t>
  </si>
  <si>
    <t>opp_m9_amt</t>
  </si>
  <si>
    <t>9월_인건비</t>
  </si>
  <si>
    <t>iv_m5_amt</t>
  </si>
  <si>
    <t>5월</t>
  </si>
  <si>
    <t>exp_8_amt</t>
  </si>
  <si>
    <t>8월 경비 금액</t>
  </si>
  <si>
    <t>project_type_text</t>
  </si>
  <si>
    <t>ProjectTypeText</t>
  </si>
  <si>
    <t>opp_m10_amt</t>
  </si>
  <si>
    <t>10월_인건비</t>
  </si>
  <si>
    <t>iv_m6_amt</t>
  </si>
  <si>
    <t>6월</t>
  </si>
  <si>
    <t>exp_9_amt</t>
  </si>
  <si>
    <t>9월 경비 금액</t>
  </si>
  <si>
    <t>project_type_category</t>
  </si>
  <si>
    <t>ProjectTypeCategory</t>
  </si>
  <si>
    <t>opp_m11_amt</t>
  </si>
  <si>
    <t>11월_인건비</t>
  </si>
  <si>
    <t>iv_m7_amt</t>
  </si>
  <si>
    <t>7월</t>
  </si>
  <si>
    <t>exp_10_amt</t>
  </si>
  <si>
    <t>10월 경비 금액</t>
  </si>
  <si>
    <t>start_date</t>
  </si>
  <si>
    <t>Start Date</t>
  </si>
  <si>
    <t>opp_m12_amt</t>
  </si>
  <si>
    <t>12월_인건비</t>
  </si>
  <si>
    <t>iv_m8_amt</t>
  </si>
  <si>
    <t>8월</t>
  </si>
  <si>
    <t>exp_11_amt</t>
  </si>
  <si>
    <t>11월 경비 금액</t>
  </si>
  <si>
    <t>end_date</t>
  </si>
  <si>
    <t>End Date</t>
  </si>
  <si>
    <t>iv_m9_amt</t>
  </si>
  <si>
    <t>9월</t>
  </si>
  <si>
    <t>exp_12_amt</t>
  </si>
  <si>
    <t>12월 경비 금액</t>
  </si>
  <si>
    <t>resp_cost_cntr</t>
  </si>
  <si>
    <t>Resp. CostCenter</t>
  </si>
  <si>
    <t>iv_m10_amt</t>
  </si>
  <si>
    <t>10월</t>
  </si>
  <si>
    <t>resp_cost_cntr_name</t>
  </si>
  <si>
    <t>Resp. CostCenter Name</t>
  </si>
  <si>
    <t>iv_m11_amt</t>
  </si>
  <si>
    <t>11월</t>
  </si>
  <si>
    <t>profit_center</t>
  </si>
  <si>
    <t>Profit Center</t>
  </si>
  <si>
    <t>iv_m12_amt</t>
  </si>
  <si>
    <t>12월</t>
  </si>
  <si>
    <t>profit_center_name</t>
  </si>
  <si>
    <t>Profit Center Name</t>
  </si>
  <si>
    <t>pcgtx</t>
  </si>
  <si>
    <t>부문</t>
  </si>
  <si>
    <t>customer</t>
  </si>
  <si>
    <t>Customer</t>
  </si>
  <si>
    <t>customer_name</t>
  </si>
  <si>
    <t>Customer Name</t>
  </si>
  <si>
    <t>contractor</t>
  </si>
  <si>
    <t>Contractor</t>
  </si>
  <si>
    <t>contractor_name</t>
  </si>
  <si>
    <t>Contractor Name</t>
  </si>
  <si>
    <t>asyn</t>
  </si>
  <si>
    <t>무상AS 여부</t>
  </si>
  <si>
    <t>service_amount</t>
  </si>
  <si>
    <t>용역 Contract</t>
  </si>
  <si>
    <t>eqp_amount</t>
  </si>
  <si>
    <t>장비 Contract</t>
  </si>
  <si>
    <t>billing_amount</t>
  </si>
  <si>
    <t>Billing Amount</t>
  </si>
  <si>
    <t>contract_total</t>
  </si>
  <si>
    <t>Contract Total</t>
  </si>
  <si>
    <t>fx_waers</t>
  </si>
  <si>
    <t>계약통화(FX)</t>
  </si>
  <si>
    <t>fx_tot</t>
  </si>
  <si>
    <t>Contract Total(FX)</t>
  </si>
  <si>
    <t>fx_svc</t>
  </si>
  <si>
    <t>용역 Contract(FX)</t>
  </si>
  <si>
    <t>fx_hws</t>
  </si>
  <si>
    <t>장비 Contract(FX)</t>
  </si>
  <si>
    <t>fx_bil</t>
  </si>
  <si>
    <t>Sales (Billing_FX)</t>
  </si>
  <si>
    <t>budget</t>
  </si>
  <si>
    <t>Budget</t>
  </si>
  <si>
    <t>budget_svc</t>
  </si>
  <si>
    <t>Budget(SVC)</t>
  </si>
  <si>
    <t>budget_hw</t>
  </si>
  <si>
    <t>Budget(H/W)</t>
  </si>
  <si>
    <t>revenue</t>
  </si>
  <si>
    <t>매출 Total</t>
  </si>
  <si>
    <t>lobsales</t>
  </si>
  <si>
    <t>용역매출</t>
  </si>
  <si>
    <t>eqpsales</t>
  </si>
  <si>
    <t>장비매출</t>
  </si>
  <si>
    <t>inouttc</t>
  </si>
  <si>
    <t>대내외(고객)</t>
  </si>
  <si>
    <t>inouttg</t>
  </si>
  <si>
    <t>대내외(계약처)</t>
  </si>
  <si>
    <t>expyn</t>
  </si>
  <si>
    <t>수출여부</t>
  </si>
  <si>
    <t>revenue_m1_amt</t>
  </si>
  <si>
    <t>1월 매출원가</t>
  </si>
  <si>
    <t>revenue_m2_amt</t>
  </si>
  <si>
    <t>2월 매출원가</t>
  </si>
  <si>
    <t>revenue_m3_amt</t>
  </si>
  <si>
    <t>3월 매출원가</t>
  </si>
  <si>
    <t>revenue_m4_amt</t>
  </si>
  <si>
    <t>4월 매출원가</t>
  </si>
  <si>
    <t>revenue_m5_amt</t>
  </si>
  <si>
    <t>5월 매출원가</t>
  </si>
  <si>
    <t>revenue_m6_amt</t>
  </si>
  <si>
    <t>6월 매출원가</t>
  </si>
  <si>
    <t>revenue_m7_amt</t>
  </si>
  <si>
    <t>7월 매출원가</t>
  </si>
  <si>
    <t>revenue_m8_amt</t>
  </si>
  <si>
    <t>8월 매출원가</t>
  </si>
  <si>
    <t>revenue_m9_amt</t>
  </si>
  <si>
    <t>9월 매출원가</t>
  </si>
  <si>
    <t>revenue_m10_amt</t>
  </si>
  <si>
    <t>10월 매출원가</t>
  </si>
  <si>
    <t>revenue_m11_amt</t>
  </si>
  <si>
    <t>11월 매출원가</t>
  </si>
  <si>
    <t>revenue_m12_amt</t>
  </si>
  <si>
    <t>12월 매출원가</t>
  </si>
  <si>
    <t>tcost_m1_amt</t>
  </si>
  <si>
    <t>1월 원가</t>
  </si>
  <si>
    <t>tcost_m2_amt</t>
  </si>
  <si>
    <t>2월 원가</t>
  </si>
  <si>
    <t>tcost_m3_amt</t>
  </si>
  <si>
    <t>3월 원가</t>
  </si>
  <si>
    <t>tcost_m4_amt</t>
  </si>
  <si>
    <t>4월 원가</t>
  </si>
  <si>
    <t>tcost_m5_amt</t>
  </si>
  <si>
    <t>5월 원가</t>
  </si>
  <si>
    <t>tcost_m6_amt</t>
  </si>
  <si>
    <t>6월 원가</t>
  </si>
  <si>
    <t>tcost_m7_amt</t>
  </si>
  <si>
    <t>7월 원가</t>
  </si>
  <si>
    <t>tcost_m8_amt</t>
  </si>
  <si>
    <t>8월 원가</t>
  </si>
  <si>
    <t>tcost_m9_amt</t>
  </si>
  <si>
    <t>9월 원가</t>
  </si>
  <si>
    <t>tcost_m10_amt</t>
  </si>
  <si>
    <t>10월 원가</t>
  </si>
  <si>
    <t>tcost_m11_amt</t>
  </si>
  <si>
    <t>11월 원가</t>
  </si>
  <si>
    <t>tcost_m12_amt</t>
  </si>
  <si>
    <t>12월 원가</t>
  </si>
  <si>
    <t>labor_m1_amt</t>
  </si>
  <si>
    <t>1월 인건비</t>
  </si>
  <si>
    <t>labor_m2_amt</t>
  </si>
  <si>
    <t>2월 인건비</t>
  </si>
  <si>
    <t>labor_m3_amt</t>
  </si>
  <si>
    <t>3월 인건비</t>
  </si>
  <si>
    <t>labor_m4_amt</t>
  </si>
  <si>
    <t>4월 인건비</t>
  </si>
  <si>
    <t>labor_m5_amt</t>
  </si>
  <si>
    <t>5월 인건비</t>
  </si>
  <si>
    <t>labor_m6_amt</t>
  </si>
  <si>
    <t>6월 인건비</t>
  </si>
  <si>
    <t>labor_m7_amt</t>
  </si>
  <si>
    <t>7월 인건비</t>
  </si>
  <si>
    <t>labor_m8_amt</t>
  </si>
  <si>
    <t>8월 인건비</t>
  </si>
  <si>
    <t>labor_m9_amt</t>
  </si>
  <si>
    <t>9월 인건비</t>
  </si>
  <si>
    <t>labor_m10_amt</t>
  </si>
  <si>
    <t>10월 인건비</t>
  </si>
  <si>
    <t>labor_m11_amt</t>
  </si>
  <si>
    <t>11월 인건비</t>
  </si>
  <si>
    <t>labor_m12_amt</t>
  </si>
  <si>
    <t>12월 인건비</t>
  </si>
  <si>
    <t>matnr_m1_amt</t>
  </si>
  <si>
    <t>1월 재료비</t>
  </si>
  <si>
    <t>matnr_m2_amt</t>
  </si>
  <si>
    <t>2월 재료비</t>
  </si>
  <si>
    <t>matnr_m3_amt</t>
  </si>
  <si>
    <t>3월 재료비</t>
  </si>
  <si>
    <t>matnr_m4_amt</t>
  </si>
  <si>
    <t>4월 재료비</t>
  </si>
  <si>
    <t>matnr_m5_amt</t>
  </si>
  <si>
    <t>5월 재료비</t>
  </si>
  <si>
    <t>matnr_m6_amt</t>
  </si>
  <si>
    <t>6월 재료비</t>
    <phoneticPr fontId="1" type="noConversion"/>
  </si>
  <si>
    <t>matnr_m7_amt</t>
  </si>
  <si>
    <t>7월 재료비</t>
  </si>
  <si>
    <t>matnr_m8_amt</t>
  </si>
  <si>
    <t>8월 재료비</t>
  </si>
  <si>
    <t>matnr_m9_amt</t>
  </si>
  <si>
    <t>9월 재료비</t>
  </si>
  <si>
    <t>matnr_m10_amt</t>
  </si>
  <si>
    <t>10월 재료비</t>
  </si>
  <si>
    <t>matnr_m11_amt</t>
  </si>
  <si>
    <t>11월 재료비</t>
  </si>
  <si>
    <t>matnr_m12_amt</t>
  </si>
  <si>
    <t>12월 재료비</t>
  </si>
  <si>
    <t>coexp_m1_amt</t>
  </si>
  <si>
    <t>1월 외주비</t>
  </si>
  <si>
    <t>coexp_m2_amt</t>
  </si>
  <si>
    <t>2월 외주비</t>
  </si>
  <si>
    <t>coexp_m3_amt</t>
  </si>
  <si>
    <t>3월 외주비</t>
  </si>
  <si>
    <t>coexp_m4_amt</t>
  </si>
  <si>
    <t>4월 외주비</t>
  </si>
  <si>
    <t>coexp_m5_amt</t>
  </si>
  <si>
    <t>5월 외주비</t>
  </si>
  <si>
    <t>coexp_m6_amt</t>
  </si>
  <si>
    <t>6월 외주비</t>
  </si>
  <si>
    <t>coexp_m7_amt</t>
  </si>
  <si>
    <t>7월 외주비</t>
  </si>
  <si>
    <t>coexp_m8_amt</t>
  </si>
  <si>
    <t>8월 외주비</t>
  </si>
  <si>
    <t>coexp_m9_amt</t>
  </si>
  <si>
    <t>9월 외주비</t>
  </si>
  <si>
    <t>coexp_m10_amt</t>
  </si>
  <si>
    <t>10월 외주비</t>
  </si>
  <si>
    <t>coexp_m11_amt</t>
  </si>
  <si>
    <t>11월 외주비</t>
  </si>
  <si>
    <t>coexp_m12_amt</t>
  </si>
  <si>
    <t>12월 외주비</t>
  </si>
  <si>
    <t>otexp_m1_amt</t>
  </si>
  <si>
    <t>1월 경비</t>
  </si>
  <si>
    <t>otexp_m2_amt</t>
  </si>
  <si>
    <t>2월 경비</t>
  </si>
  <si>
    <t>otexp_m3_amt</t>
  </si>
  <si>
    <t>3월 경비</t>
  </si>
  <si>
    <t>otexp_m4_amt</t>
  </si>
  <si>
    <t>4월 경비</t>
  </si>
  <si>
    <t>otexp_m5_amt</t>
  </si>
  <si>
    <t>5월 경비</t>
  </si>
  <si>
    <t>otexp_m6_amt</t>
  </si>
  <si>
    <t>6월 경비</t>
  </si>
  <si>
    <t>otexp_m7_amt</t>
  </si>
  <si>
    <t>7월 경비</t>
  </si>
  <si>
    <t>otexp_m8_amt</t>
  </si>
  <si>
    <t>8월 경비</t>
  </si>
  <si>
    <t>otexp_m9_amt</t>
  </si>
  <si>
    <t>9월 경비</t>
  </si>
  <si>
    <t>otexp_m10_amt</t>
  </si>
  <si>
    <t>10월 경비</t>
  </si>
  <si>
    <t>otexp_m11_amt</t>
  </si>
  <si>
    <t>11월 경비</t>
  </si>
  <si>
    <t>otexp_m12_amt</t>
  </si>
  <si>
    <t>12월 경비</t>
  </si>
  <si>
    <t>gsale_m1_amt</t>
  </si>
  <si>
    <t>1월 마진</t>
  </si>
  <si>
    <t>gsale_m2_amt</t>
  </si>
  <si>
    <t>2월 마진</t>
  </si>
  <si>
    <t>gsale_m3_amt</t>
  </si>
  <si>
    <t>3월 마진</t>
  </si>
  <si>
    <t>gsale_m4_amt</t>
  </si>
  <si>
    <t>4월 마진</t>
  </si>
  <si>
    <t>gsale_m5_amt</t>
  </si>
  <si>
    <t>5월 마진</t>
  </si>
  <si>
    <t>gsale_m6_amt</t>
  </si>
  <si>
    <t>6월 마진</t>
  </si>
  <si>
    <t>gsale_m7_amt</t>
  </si>
  <si>
    <t>7월 마진</t>
  </si>
  <si>
    <t>gsale_m8_amt</t>
  </si>
  <si>
    <t>8월 마진</t>
  </si>
  <si>
    <t>gsale_m9_amt</t>
  </si>
  <si>
    <t>9월 마진</t>
  </si>
  <si>
    <t>gsale_m10_amt</t>
  </si>
  <si>
    <t>10월 마진</t>
  </si>
  <si>
    <t>gsale_m11_amt</t>
  </si>
  <si>
    <t>11월 마진</t>
  </si>
  <si>
    <t>gsale_m12_amt</t>
  </si>
  <si>
    <t>12월 마진</t>
  </si>
  <si>
    <t>total_cost</t>
  </si>
  <si>
    <t>Total Cost</t>
  </si>
  <si>
    <t>standard_labor</t>
  </si>
  <si>
    <t>Standard Labor</t>
  </si>
  <si>
    <t>equipments</t>
  </si>
  <si>
    <t>Equipments</t>
  </si>
  <si>
    <t>contractor_expense</t>
  </si>
  <si>
    <t>Contractor Expense</t>
  </si>
  <si>
    <t>otexp</t>
  </si>
  <si>
    <t>Other Expense</t>
  </si>
  <si>
    <t>total_revenue</t>
  </si>
  <si>
    <t>Total Revenue</t>
  </si>
  <si>
    <t>total_sales</t>
  </si>
  <si>
    <t>총계매출</t>
  </si>
  <si>
    <t>lob</t>
  </si>
  <si>
    <t>용역매출총계</t>
  </si>
  <si>
    <t>eqp</t>
  </si>
  <si>
    <t>장비매출총계</t>
  </si>
  <si>
    <t>tot_cost</t>
  </si>
  <si>
    <t>Total Cost총계</t>
  </si>
  <si>
    <t>tlabor</t>
  </si>
  <si>
    <t>Standard Labor총계</t>
  </si>
  <si>
    <t>tmatnr</t>
  </si>
  <si>
    <t>Equipments총계</t>
  </si>
  <si>
    <t>tcoexp</t>
  </si>
  <si>
    <t>Contractor Expense총계</t>
  </si>
  <si>
    <t>totexp</t>
  </si>
  <si>
    <t>Other Expense총계</t>
  </si>
  <si>
    <t>tlabor1</t>
  </si>
  <si>
    <t>총계 Standard Labor</t>
  </si>
  <si>
    <t>tmatnr1</t>
  </si>
  <si>
    <t>총계 Equipments</t>
  </si>
  <si>
    <t>tcoexp1</t>
  </si>
  <si>
    <t>총계 Contractor Expense</t>
  </si>
  <si>
    <t>totexp1</t>
  </si>
  <si>
    <t>총계 Labor Expense</t>
  </si>
  <si>
    <t>budget1</t>
  </si>
  <si>
    <t>Budget(Standard</t>
  </si>
  <si>
    <t>budget3</t>
  </si>
  <si>
    <t>Budget(Equipments)</t>
  </si>
  <si>
    <t>budget4</t>
  </si>
  <si>
    <t>Budget(Contractor Expense)</t>
  </si>
  <si>
    <t>budget5</t>
  </si>
  <si>
    <t>Budget(Other Expense)</t>
  </si>
  <si>
    <t>budget6</t>
  </si>
  <si>
    <t>Budget(기타계정)</t>
  </si>
  <si>
    <t>fx_rev1_amt</t>
  </si>
  <si>
    <t>1월 매출_FX</t>
  </si>
  <si>
    <t>fx_rev2_amt</t>
  </si>
  <si>
    <t>2월 매출_FX</t>
  </si>
  <si>
    <t>fx_rev3_amt</t>
  </si>
  <si>
    <t>3월 매출_FX</t>
  </si>
  <si>
    <t>fx_rev4_amt</t>
  </si>
  <si>
    <t>4월 매출_FX</t>
  </si>
  <si>
    <t>fx_rev5_amt</t>
  </si>
  <si>
    <t>5월 매출_FX</t>
  </si>
  <si>
    <t>fx_rev6_amt</t>
  </si>
  <si>
    <t>6월 매출_FX</t>
  </si>
  <si>
    <t>fx_rev7_amt</t>
  </si>
  <si>
    <t>7월 매출_FX</t>
  </si>
  <si>
    <t>fx_rev8_amt</t>
  </si>
  <si>
    <t>8월 매출_FX</t>
  </si>
  <si>
    <t>fx_rev9_amt</t>
  </si>
  <si>
    <t>9월 매출_FX</t>
  </si>
  <si>
    <t>fx_rev10_amt</t>
  </si>
  <si>
    <t>10월 매출_FX</t>
  </si>
  <si>
    <t>fx_rev11_amt</t>
  </si>
  <si>
    <t>11월 매출_FX</t>
  </si>
  <si>
    <t>fx_rev12_amt</t>
  </si>
  <si>
    <t>12월 매출_FX</t>
  </si>
  <si>
    <t>fx_tot_rev</t>
  </si>
  <si>
    <t>매출 Total_FX</t>
  </si>
  <si>
    <t>tot_fx_rev</t>
  </si>
  <si>
    <t>총계매출_FX</t>
  </si>
  <si>
    <t>sw_fx_rev</t>
  </si>
  <si>
    <t>용역매출총계_FX</t>
  </si>
  <si>
    <t>hw_fx_rev</t>
  </si>
  <si>
    <t>장비매출총계_FX</t>
  </si>
  <si>
    <t>wideview</t>
    <phoneticPr fontId="1" type="noConversion"/>
  </si>
  <si>
    <t>매출 장판지 공통 테이블</t>
  </si>
  <si>
    <t xml:space="preserve">org_b_labor			</t>
    <phoneticPr fontId="1" type="noConversion"/>
  </si>
  <si>
    <t xml:space="preserve">조직 간 월 별 인건비 테이블		</t>
  </si>
  <si>
    <t xml:space="preserve">rsp_org_estm_labor			</t>
  </si>
  <si>
    <t xml:space="preserve">조직 간 월 별 추정 인건비 (확보 + 미확보) 테이블		</t>
  </si>
  <si>
    <t xml:space="preserve">rsp_org_target_br			</t>
  </si>
  <si>
    <t xml:space="preserve">조직 별 연간 목표 BR 테이블		</t>
  </si>
  <si>
    <t xml:space="preserve">rsp_br_monthly_estm			</t>
  </si>
  <si>
    <t xml:space="preserve">조직 간 월 별 BR추정 테이블		</t>
  </si>
  <si>
    <t xml:space="preserve">rsp_delivery_org			</t>
  </si>
  <si>
    <t xml:space="preserve">Delivery 조직 정보 저장 테이블		</t>
  </si>
  <si>
    <t xml:space="preserve">sga_investment			</t>
  </si>
  <si>
    <t xml:space="preserve">SG&amp;A 투자 월추정 테이블		</t>
  </si>
  <si>
    <t xml:space="preserve">sga_expense			</t>
  </si>
  <si>
    <t xml:space="preserve">SG&amp;A 경비 월추정 테이블		</t>
  </si>
  <si>
    <t>수주_추정_년</t>
  </si>
  <si>
    <t>매출 귀속 부서 ID</t>
  </si>
  <si>
    <t>org_division_cd</t>
  </si>
  <si>
    <t>부문 조직 코드</t>
  </si>
  <si>
    <t>수주_추정_월</t>
  </si>
  <si>
    <t>연도별 인건비</t>
  </si>
  <si>
    <t>연도</t>
  </si>
  <si>
    <t>org_quarter_cd</t>
  </si>
  <si>
    <t>본부 조직 코드</t>
  </si>
  <si>
    <t>org_quater_cd</t>
  </si>
  <si>
    <t>org_team_cd</t>
  </si>
  <si>
    <t>HR_팀_조직_코드</t>
  </si>
  <si>
    <t>wbs_desc</t>
  </si>
  <si>
    <t>투입 인건비 귀속 코스트센터</t>
  </si>
  <si>
    <t>Gl_account</t>
  </si>
  <si>
    <t>Start DATE</t>
  </si>
  <si>
    <t>sum_m1_amt</t>
  </si>
  <si>
    <t>1월 총 추정 인건비</t>
  </si>
  <si>
    <t>End DATE</t>
  </si>
  <si>
    <t>sum_m2_amt</t>
  </si>
  <si>
    <t>2월 총 추정 인건비</t>
  </si>
  <si>
    <t>br_target</t>
  </si>
  <si>
    <t>목표 BR</t>
  </si>
  <si>
    <t>is_delivery</t>
  </si>
  <si>
    <t>Delivery 구분자</t>
  </si>
  <si>
    <t>sum_m3_amt</t>
  </si>
  <si>
    <t>3월 총 추정 인건비</t>
  </si>
  <si>
    <t>br_estm</t>
  </si>
  <si>
    <t>추정 BR</t>
  </si>
  <si>
    <t>br_m1_rate</t>
  </si>
  <si>
    <t>1월 BR</t>
  </si>
  <si>
    <t>resp_costcntr_name</t>
  </si>
  <si>
    <t>sum_m4_amt</t>
  </si>
  <si>
    <t>4월 총 추정 인건비</t>
  </si>
  <si>
    <t>br_opp_estm</t>
  </si>
  <si>
    <t>미확보 추정 BR</t>
  </si>
  <si>
    <t>br_m2_rate</t>
  </si>
  <si>
    <t>2월 BR</t>
  </si>
  <si>
    <t>sum_m5_amt</t>
  </si>
  <si>
    <t>5월 총 추정 인건비</t>
  </si>
  <si>
    <t>br_m3_rate</t>
  </si>
  <si>
    <t>3월 BR</t>
  </si>
  <si>
    <t>sum_m6_amt</t>
  </si>
  <si>
    <t>6월 총 추정 인건비</t>
  </si>
  <si>
    <t>br_m4_rate</t>
  </si>
  <si>
    <t>4월 BR</t>
  </si>
  <si>
    <t>sum_m7_amt</t>
  </si>
  <si>
    <t>7월 총 추정 인건비</t>
  </si>
  <si>
    <t>br_m5_rate</t>
  </si>
  <si>
    <t>5월 BR</t>
  </si>
  <si>
    <t>sum_m8_amt</t>
  </si>
  <si>
    <t>8월 총 추정 인건비</t>
  </si>
  <si>
    <t>br_m6_rate</t>
  </si>
  <si>
    <t>6월 BR</t>
  </si>
  <si>
    <t>sum_m9_amt</t>
  </si>
  <si>
    <t>9월 총 추정 인건비</t>
  </si>
  <si>
    <t>br_m7_rate</t>
  </si>
  <si>
    <t>7월 BR</t>
  </si>
  <si>
    <t>sum_m10_amt</t>
  </si>
  <si>
    <t>10월 총 추정 인건비</t>
  </si>
  <si>
    <t>br_m8_rate</t>
  </si>
  <si>
    <t>8월 BR</t>
  </si>
  <si>
    <t>rodr_m1_amt</t>
  </si>
  <si>
    <t>수주_1_월_금액</t>
  </si>
  <si>
    <t>sum_m11_amt</t>
  </si>
  <si>
    <t>11월 총 추정 인건비</t>
  </si>
  <si>
    <t>br_m9_rate</t>
  </si>
  <si>
    <t>9월 BR</t>
  </si>
  <si>
    <t>rodr_m2_amt</t>
  </si>
  <si>
    <t>수주_2_월_금액</t>
  </si>
  <si>
    <t>sum_m12_amt</t>
  </si>
  <si>
    <t>12월 총 추정 인건비</t>
  </si>
  <si>
    <t>br_m10_rate</t>
  </si>
  <si>
    <t>10월 BR</t>
  </si>
  <si>
    <t>rodr_m3_amt</t>
  </si>
  <si>
    <t>수주_3_월_금액</t>
  </si>
  <si>
    <t>br_m11_rate</t>
  </si>
  <si>
    <t>11월 BR</t>
  </si>
  <si>
    <t>rodr_m4_amt</t>
  </si>
  <si>
    <t>수주_4_월_금액</t>
  </si>
  <si>
    <t>br_m12_rate</t>
  </si>
  <si>
    <t>12월 BR</t>
  </si>
  <si>
    <t>rodr_m5_amt</t>
  </si>
  <si>
    <t>수주_5_월_금액</t>
  </si>
  <si>
    <t>br_average</t>
  </si>
  <si>
    <t>연평균 BR</t>
  </si>
  <si>
    <t>rodr_m6_amt</t>
  </si>
  <si>
    <t>수주_6_월_금액</t>
  </si>
  <si>
    <t>rodr_m7_amt</t>
  </si>
  <si>
    <t>수주_7_월_금액</t>
  </si>
  <si>
    <t>rodr_m8_amt</t>
  </si>
  <si>
    <t>수주_8_월_금액</t>
  </si>
  <si>
    <t>rodr_m9_amt</t>
  </si>
  <si>
    <t>수주_9_월_금액</t>
  </si>
  <si>
    <t>rodr_m10_amt</t>
  </si>
  <si>
    <t>수주_10_월_금액</t>
  </si>
  <si>
    <t>rodr_m11_amt</t>
  </si>
  <si>
    <t>수주_11_월_금액</t>
  </si>
  <si>
    <t>rodr_m12_amt</t>
  </si>
  <si>
    <t>수주_12_월_금액</t>
  </si>
  <si>
    <t>sale_m1_amt</t>
  </si>
  <si>
    <t>매출_1_월_금액</t>
  </si>
  <si>
    <t>sale_m2_amt</t>
  </si>
  <si>
    <t>매출_2_월_금액</t>
  </si>
  <si>
    <t>sale_m3_amt</t>
  </si>
  <si>
    <t>매출_3_월_금액</t>
  </si>
  <si>
    <t>sale_m4_amt</t>
  </si>
  <si>
    <t>매출_4_월_금액</t>
  </si>
  <si>
    <t>sale_m5_amt</t>
  </si>
  <si>
    <t>매출_5_월_금액</t>
  </si>
  <si>
    <t>sale_m6_amt</t>
  </si>
  <si>
    <t>매출_6_월_금액</t>
  </si>
  <si>
    <t>sale_m7_amt</t>
  </si>
  <si>
    <t>매출_7_월_금액</t>
  </si>
  <si>
    <t>sale_m8_amt</t>
  </si>
  <si>
    <t>매출_8_월_금액</t>
  </si>
  <si>
    <t>sale_m9_amt</t>
  </si>
  <si>
    <t>매출_9_월_금액</t>
  </si>
  <si>
    <t>sale_m10_amt</t>
  </si>
  <si>
    <t>매출_10_월_금액</t>
  </si>
  <si>
    <t>sale_m11_amt</t>
  </si>
  <si>
    <t>매출_11_월_금액</t>
  </si>
  <si>
    <t>sale_m12_amt</t>
  </si>
  <si>
    <t>매출_12_월_금액</t>
  </si>
  <si>
    <t>prj_prfm_m1_amt</t>
  </si>
  <si>
    <t>프로젝트_수행_1_월_금액</t>
  </si>
  <si>
    <t>prj_prfm_m2_amt</t>
  </si>
  <si>
    <t>프로젝트_수행_2_월_금액</t>
  </si>
  <si>
    <t>prj_prfm_m3_amt</t>
  </si>
  <si>
    <t>프로젝트_수행_3_월_금액</t>
  </si>
  <si>
    <t>prj_prfm_m4_amt</t>
  </si>
  <si>
    <t>프로젝트_수행_4_월_금액</t>
  </si>
  <si>
    <t>prj_prfm_m5_amt</t>
  </si>
  <si>
    <t>프로젝트_수행_5_월_금액</t>
  </si>
  <si>
    <t>prj_prfm_m6_amt</t>
  </si>
  <si>
    <t>프로젝트_수행_6_월_금액</t>
  </si>
  <si>
    <t>prj_prfm_m7_amt</t>
  </si>
  <si>
    <t>프로젝트_수행_7_월_금액</t>
  </si>
  <si>
    <t>prj_prfm_m8_amt</t>
  </si>
  <si>
    <t>프로젝트_수행_8_월_금액</t>
  </si>
  <si>
    <t>prj_prfm_m9_amt</t>
  </si>
  <si>
    <t>프로젝트_수행_9_월_금액</t>
  </si>
  <si>
    <t>prj_prfm_m10_amt</t>
  </si>
  <si>
    <t>프로젝트_수행_10_월_금액</t>
  </si>
  <si>
    <t>prj_prfm_m11_amt</t>
  </si>
  <si>
    <t>프로젝트_수행_11_월_금액</t>
  </si>
  <si>
    <t>prj_prfm_m12_amt</t>
  </si>
  <si>
    <t>프로젝트_수행_12_월_금액</t>
  </si>
  <si>
    <t>target</t>
    <phoneticPr fontId="1" type="noConversion"/>
  </si>
  <si>
    <t>목표 테이블</t>
  </si>
  <si>
    <t>목표대상 년도</t>
  </si>
  <si>
    <t>본부_ID</t>
  </si>
  <si>
    <t>sale</t>
  </si>
  <si>
    <t>목표_매출</t>
  </si>
  <si>
    <t>sga_org_nb_labor</t>
  </si>
  <si>
    <t>SG&amp;A 인건비</t>
  </si>
  <si>
    <t>margin</t>
  </si>
  <si>
    <t>목표_마진</t>
  </si>
  <si>
    <t>br</t>
  </si>
  <si>
    <t>목표_BR</t>
  </si>
  <si>
    <t>cal_m1_amt</t>
    <phoneticPr fontId="0" type="noConversion"/>
  </si>
  <si>
    <t>1월 총 추정 NB인건비</t>
    <phoneticPr fontId="0" type="noConversion"/>
  </si>
  <si>
    <t>cal_m2_amt</t>
    <phoneticPr fontId="0" type="noConversion"/>
  </si>
  <si>
    <t>2월 총 추정 NB인건비</t>
    <phoneticPr fontId="0" type="noConversion"/>
  </si>
  <si>
    <t>cal_m3_amt</t>
    <phoneticPr fontId="0" type="noConversion"/>
  </si>
  <si>
    <t>3월 총 추정 NB인건비</t>
    <phoneticPr fontId="0" type="noConversion"/>
  </si>
  <si>
    <t>cal_m4_amt</t>
    <phoneticPr fontId="0" type="noConversion"/>
  </si>
  <si>
    <t>4월 총 추정 NB인건비</t>
    <phoneticPr fontId="0" type="noConversion"/>
  </si>
  <si>
    <t>cal_m5_amt</t>
    <phoneticPr fontId="0" type="noConversion"/>
  </si>
  <si>
    <t>5월 총 추정 NB인건비</t>
    <phoneticPr fontId="0" type="noConversion"/>
  </si>
  <si>
    <t>cal_m6_amt</t>
    <phoneticPr fontId="0" type="noConversion"/>
  </si>
  <si>
    <t>6월 총 추정 NB인건비</t>
    <phoneticPr fontId="0" type="noConversion"/>
  </si>
  <si>
    <t>cal_m7_amt</t>
    <phoneticPr fontId="0" type="noConversion"/>
  </si>
  <si>
    <t>7월 총 추정 NB인건비</t>
    <phoneticPr fontId="0" type="noConversion"/>
  </si>
  <si>
    <t>cal_m8_amt</t>
    <phoneticPr fontId="0" type="noConversion"/>
  </si>
  <si>
    <t>8월 총 추정 NB인건비</t>
    <phoneticPr fontId="0" type="noConversion"/>
  </si>
  <si>
    <t>cal_m9_amt</t>
    <phoneticPr fontId="0" type="noConversion"/>
  </si>
  <si>
    <t>9월 총 추정 NB인건비</t>
    <phoneticPr fontId="0" type="noConversion"/>
  </si>
  <si>
    <t>cal_m10_amt</t>
    <phoneticPr fontId="0" type="noConversion"/>
  </si>
  <si>
    <t>10월 총 추정 NB인건비</t>
    <phoneticPr fontId="0" type="noConversion"/>
  </si>
  <si>
    <t>cal_m11_amt</t>
    <phoneticPr fontId="0" type="noConversion"/>
  </si>
  <si>
    <t>11월 총 추정 NB인건비</t>
    <phoneticPr fontId="0" type="noConversion"/>
  </si>
  <si>
    <t>cal_m12_amt</t>
    <phoneticPr fontId="0" type="noConversion"/>
  </si>
  <si>
    <t>12월 총 추정 NB인건비</t>
    <phoneticPr fontId="0" type="noConversion"/>
  </si>
  <si>
    <t>용어 사전</t>
  </si>
  <si>
    <t>숙어 사전</t>
  </si>
  <si>
    <t>한글</t>
    <phoneticPr fontId="1" type="noConversion"/>
  </si>
  <si>
    <t>영문(full)</t>
    <phoneticPr fontId="1" type="noConversion"/>
  </si>
  <si>
    <t>축약</t>
    <phoneticPr fontId="1" type="noConversion"/>
  </si>
  <si>
    <t>PK</t>
  </si>
  <si>
    <t>FK</t>
  </si>
  <si>
    <t>Relations</t>
  </si>
  <si>
    <t>Not Null</t>
  </si>
  <si>
    <t>Type</t>
  </si>
  <si>
    <t>Length</t>
  </si>
  <si>
    <t>Description</t>
  </si>
  <si>
    <t>Sample Data</t>
  </si>
  <si>
    <t>비고</t>
    <phoneticPr fontId="1" type="noConversion"/>
  </si>
  <si>
    <t>사용</t>
    <phoneticPr fontId="1" type="noConversion"/>
  </si>
  <si>
    <t>use</t>
    <phoneticPr fontId="1" type="noConversion"/>
  </si>
  <si>
    <t>사용여부</t>
    <phoneticPr fontId="1" type="noConversion"/>
  </si>
  <si>
    <t>Boolean</t>
  </si>
  <si>
    <t>여부</t>
    <phoneticPr fontId="1" type="noConversion"/>
  </si>
  <si>
    <t>yn</t>
    <phoneticPr fontId="1" type="noConversion"/>
  </si>
  <si>
    <t>sort_order</t>
  </si>
  <si>
    <t>Integer</t>
    <phoneticPr fontId="5" type="noConversion"/>
  </si>
  <si>
    <t>정렬</t>
    <phoneticPr fontId="1" type="noConversion"/>
  </si>
  <si>
    <t>sort</t>
    <phoneticPr fontId="1" type="noConversion"/>
  </si>
  <si>
    <t>String</t>
  </si>
  <si>
    <t>순서</t>
    <phoneticPr fontId="1" type="noConversion"/>
  </si>
  <si>
    <t>order</t>
    <phoneticPr fontId="1" type="noConversion"/>
  </si>
  <si>
    <t>created_at</t>
    <phoneticPr fontId="1" type="noConversion"/>
  </si>
  <si>
    <t>DateTime</t>
  </si>
  <si>
    <t>상위(부모)</t>
    <phoneticPr fontId="1" type="noConversion"/>
  </si>
  <si>
    <t>parent</t>
    <phoneticPr fontId="1" type="noConversion"/>
  </si>
  <si>
    <t>하위(자식)</t>
    <phoneticPr fontId="1" type="noConversion"/>
  </si>
  <si>
    <t>children</t>
    <phoneticPr fontId="1" type="noConversion"/>
  </si>
  <si>
    <t>아이디</t>
    <phoneticPr fontId="1" type="noConversion"/>
  </si>
  <si>
    <t>id</t>
    <phoneticPr fontId="1" type="noConversion"/>
  </si>
  <si>
    <t xml:space="preserve">카테고리 </t>
    <phoneticPr fontId="1" type="noConversion"/>
  </si>
  <si>
    <t>category</t>
    <phoneticPr fontId="1" type="noConversion"/>
  </si>
  <si>
    <t>cat</t>
    <phoneticPr fontId="1" type="noConversion"/>
  </si>
  <si>
    <t>인터페이스 ID</t>
  </si>
  <si>
    <t>Versioning에서 부여한 IF Key</t>
  </si>
  <si>
    <t>인터페이스 테이블 전용</t>
    <phoneticPr fontId="1" type="noConversion"/>
  </si>
  <si>
    <t>코드</t>
    <phoneticPr fontId="1" type="noConversion"/>
  </si>
  <si>
    <t>code</t>
    <phoneticPr fontId="1" type="noConversion"/>
  </si>
  <si>
    <t>cd</t>
    <phoneticPr fontId="1" type="noConversion"/>
  </si>
  <si>
    <t>Integer</t>
  </si>
  <si>
    <t>AUTO INCREMENT(+1)</t>
  </si>
  <si>
    <t>상세</t>
    <phoneticPr fontId="1" type="noConversion"/>
  </si>
  <si>
    <t>description</t>
    <phoneticPr fontId="1" type="noConversion"/>
  </si>
  <si>
    <t>desc</t>
    <phoneticPr fontId="1" type="noConversion"/>
  </si>
  <si>
    <t>create_datetime</t>
  </si>
  <si>
    <t>생성 일시</t>
    <phoneticPr fontId="1" type="noConversion"/>
  </si>
  <si>
    <t>Timestamp</t>
  </si>
  <si>
    <t>IF 일시</t>
  </si>
  <si>
    <t>경로</t>
    <phoneticPr fontId="1" type="noConversion"/>
  </si>
  <si>
    <t>route</t>
    <phoneticPr fontId="1" type="noConversion"/>
  </si>
  <si>
    <t>처리결과 (null/ S / E)</t>
  </si>
  <si>
    <t>S(success) / E(error)</t>
  </si>
  <si>
    <t>구분(타입, 종류)</t>
    <phoneticPr fontId="1" type="noConversion"/>
  </si>
  <si>
    <t>type</t>
    <phoneticPr fontId="1" type="noConversion"/>
  </si>
  <si>
    <t>ingested_at</t>
  </si>
  <si>
    <t>인터페이스 전송시간</t>
    <phoneticPr fontId="1" type="noConversion"/>
  </si>
  <si>
    <t>ERP가 API를 보낸 시간</t>
  </si>
  <si>
    <t>3/21/2025 14:32</t>
  </si>
  <si>
    <t>GL계정</t>
    <phoneticPr fontId="1" type="noConversion"/>
  </si>
  <si>
    <t>gl</t>
    <phoneticPr fontId="1" type="noConversion"/>
  </si>
  <si>
    <t>budget_control_yn</t>
    <phoneticPr fontId="1" type="noConversion"/>
  </si>
  <si>
    <t>예산 통제 여부</t>
    <phoneticPr fontId="1" type="noConversion"/>
  </si>
  <si>
    <t>통제/ 비통제</t>
  </si>
  <si>
    <t>생성일</t>
    <phoneticPr fontId="1" type="noConversion"/>
  </si>
  <si>
    <t>조직 ID</t>
  </si>
  <si>
    <t>생성자</t>
    <phoneticPr fontId="1" type="noConversion"/>
  </si>
  <si>
    <t>created_by</t>
    <phoneticPr fontId="1" type="noConversion"/>
  </si>
  <si>
    <t>str_dt</t>
  </si>
  <si>
    <t>시작일</t>
  </si>
  <si>
    <t>수정일</t>
    <phoneticPr fontId="1" type="noConversion"/>
  </si>
  <si>
    <t>modified_at</t>
    <phoneticPr fontId="1" type="noConversion"/>
  </si>
  <si>
    <t>end_dt</t>
  </si>
  <si>
    <t>종료일</t>
  </si>
  <si>
    <t>수정자</t>
    <phoneticPr fontId="1" type="noConversion"/>
  </si>
  <si>
    <t>modified_by</t>
    <phoneticPr fontId="1" type="noConversion"/>
  </si>
  <si>
    <t>ccorg_cd</t>
    <phoneticPr fontId="1" type="noConversion"/>
  </si>
  <si>
    <t>ERP CC조직 코드</t>
    <phoneticPr fontId="1" type="noConversion"/>
  </si>
  <si>
    <t>인터페이스</t>
    <phoneticPr fontId="1" type="noConversion"/>
  </si>
  <si>
    <t>interface</t>
    <phoneticPr fontId="1" type="noConversion"/>
  </si>
  <si>
    <t>if</t>
    <phoneticPr fontId="1" type="noConversion"/>
  </si>
  <si>
    <t>cstco_rpstr_name</t>
    <phoneticPr fontId="1" type="noConversion"/>
  </si>
  <si>
    <t>고객사 대표자 명</t>
    <phoneticPr fontId="1" type="noConversion"/>
  </si>
  <si>
    <t xml:space="preserve">상태 </t>
    <phoneticPr fontId="1" type="noConversion"/>
  </si>
  <si>
    <t>status</t>
    <phoneticPr fontId="1" type="noConversion"/>
  </si>
  <si>
    <t>stts</t>
    <phoneticPr fontId="1" type="noConversion"/>
  </si>
  <si>
    <t>biz_type</t>
    <phoneticPr fontId="1" type="noConversion"/>
  </si>
  <si>
    <t>업종(비즈니스 타입)</t>
    <phoneticPr fontId="1" type="noConversion"/>
  </si>
  <si>
    <t>중계정(약정항목)</t>
    <phoneticPr fontId="1" type="noConversion"/>
  </si>
  <si>
    <t>commt</t>
    <phoneticPr fontId="1" type="noConversion"/>
  </si>
  <si>
    <t>relscomp_yn</t>
    <phoneticPr fontId="1" type="noConversion"/>
  </si>
  <si>
    <t>관계사 여부</t>
    <phoneticPr fontId="1" type="noConversion"/>
  </si>
  <si>
    <t>Boolean</t>
    <phoneticPr fontId="1" type="noConversion"/>
  </si>
  <si>
    <t>통제</t>
    <phoneticPr fontId="1" type="noConversion"/>
  </si>
  <si>
    <t>control</t>
    <phoneticPr fontId="1" type="noConversion"/>
  </si>
  <si>
    <t>Account 코드</t>
  </si>
  <si>
    <t>조직</t>
    <phoneticPr fontId="1" type="noConversion"/>
  </si>
  <si>
    <t>organization</t>
    <phoneticPr fontId="1" type="noConversion"/>
  </si>
  <si>
    <t>org</t>
    <phoneticPr fontId="1" type="noConversion"/>
  </si>
  <si>
    <t>사업수행 시작일자</t>
  </si>
  <si>
    <t>Date</t>
  </si>
  <si>
    <t>이름</t>
    <phoneticPr fontId="1" type="noConversion"/>
  </si>
  <si>
    <t>name</t>
    <phoneticPr fontId="1" type="noConversion"/>
  </si>
  <si>
    <t>nm</t>
    <phoneticPr fontId="1" type="noConversion"/>
  </si>
  <si>
    <t>사업수행 종료일자</t>
  </si>
  <si>
    <t>시작</t>
    <phoneticPr fontId="1" type="noConversion"/>
  </si>
  <si>
    <t>start</t>
    <phoneticPr fontId="1" type="noConversion"/>
  </si>
  <si>
    <t>str</t>
    <phoneticPr fontId="1" type="noConversion"/>
  </si>
  <si>
    <t>dblbk</t>
    <phoneticPr fontId="1" type="noConversion"/>
  </si>
  <si>
    <t>더블부킹</t>
    <phoneticPr fontId="1" type="noConversion"/>
  </si>
  <si>
    <t>종료</t>
    <phoneticPr fontId="1" type="noConversion"/>
  </si>
  <si>
    <t>end</t>
    <phoneticPr fontId="1" type="noConversion"/>
  </si>
  <si>
    <t>프로젝트 번호</t>
    <phoneticPr fontId="1" type="noConversion"/>
  </si>
  <si>
    <t>일(날짜)</t>
    <phoneticPr fontId="1" type="noConversion"/>
  </si>
  <si>
    <t>date</t>
    <phoneticPr fontId="1" type="noConversion"/>
  </si>
  <si>
    <t>dt</t>
    <phoneticPr fontId="1" type="noConversion"/>
  </si>
  <si>
    <t>prj_desc</t>
  </si>
  <si>
    <t>프로젝트 상세</t>
  </si>
  <si>
    <t>대표자</t>
    <phoneticPr fontId="1" type="noConversion"/>
  </si>
  <si>
    <t>representor</t>
    <phoneticPr fontId="1" type="noConversion"/>
  </si>
  <si>
    <t>rpstr</t>
    <phoneticPr fontId="1" type="noConversion"/>
  </si>
  <si>
    <t>biz_opp_no</t>
  </si>
  <si>
    <t>사업기회번호</t>
  </si>
  <si>
    <t>고객</t>
    <phoneticPr fontId="1" type="noConversion"/>
  </si>
  <si>
    <t>cstco</t>
    <phoneticPr fontId="1" type="noConversion"/>
  </si>
  <si>
    <t>매출 9월 금액</t>
  </si>
  <si>
    <t>Decimal</t>
  </si>
  <si>
    <t>(18,2)</t>
  </si>
  <si>
    <t>비즈니스</t>
    <phoneticPr fontId="1" type="noConversion"/>
  </si>
  <si>
    <t>business</t>
    <phoneticPr fontId="1" type="noConversion"/>
  </si>
  <si>
    <t>biz</t>
    <phoneticPr fontId="1" type="noConversion"/>
  </si>
  <si>
    <t>bill_m1_amt</t>
    <phoneticPr fontId="1" type="noConversion"/>
  </si>
  <si>
    <t>1월 빌링 인건비</t>
    <phoneticPr fontId="1" type="noConversion"/>
  </si>
  <si>
    <t>회사</t>
    <phoneticPr fontId="1" type="noConversion"/>
  </si>
  <si>
    <t>company</t>
    <phoneticPr fontId="1" type="noConversion"/>
  </si>
  <si>
    <t>comp</t>
    <phoneticPr fontId="1" type="noConversion"/>
  </si>
  <si>
    <t>emp_no</t>
  </si>
  <si>
    <t>사번</t>
  </si>
  <si>
    <t>O</t>
  </si>
  <si>
    <t>관계</t>
    <phoneticPr fontId="1" type="noConversion"/>
  </si>
  <si>
    <t>relationship</t>
    <phoneticPr fontId="1" type="noConversion"/>
  </si>
  <si>
    <t>rels</t>
    <phoneticPr fontId="1" type="noConversion"/>
  </si>
  <si>
    <t>D/ND 여부</t>
  </si>
  <si>
    <t>D</t>
  </si>
  <si>
    <t>Account</t>
    <phoneticPr fontId="1" type="noConversion"/>
  </si>
  <si>
    <t>　</t>
  </si>
  <si>
    <t>원천(출처)</t>
    <phoneticPr fontId="1" type="noConversion"/>
  </si>
  <si>
    <t>source</t>
    <phoneticPr fontId="1" type="noConversion"/>
  </si>
  <si>
    <t>src</t>
    <phoneticPr fontId="1" type="noConversion"/>
  </si>
  <si>
    <t>년도</t>
  </si>
  <si>
    <t>사원</t>
    <phoneticPr fontId="1" type="noConversion"/>
  </si>
  <si>
    <t>employee</t>
    <phoneticPr fontId="1" type="noConversion"/>
  </si>
  <si>
    <t>emp</t>
    <phoneticPr fontId="1" type="noConversion"/>
  </si>
  <si>
    <t>월</t>
  </si>
  <si>
    <t>년</t>
    <phoneticPr fontId="1" type="noConversion"/>
  </si>
  <si>
    <t>year</t>
    <phoneticPr fontId="1" type="noConversion"/>
  </si>
  <si>
    <t>월</t>
    <phoneticPr fontId="1" type="noConversion"/>
  </si>
  <si>
    <t>month</t>
    <phoneticPr fontId="1" type="noConversion"/>
  </si>
  <si>
    <t>m</t>
    <phoneticPr fontId="1" type="noConversion"/>
  </si>
  <si>
    <t>프로젝트</t>
    <phoneticPr fontId="1" type="noConversion"/>
  </si>
  <si>
    <t>project</t>
    <phoneticPr fontId="1" type="noConversion"/>
  </si>
  <si>
    <t>prj</t>
    <phoneticPr fontId="1" type="noConversion"/>
  </si>
  <si>
    <t>수주</t>
    <phoneticPr fontId="1" type="noConversion"/>
  </si>
  <si>
    <t>received order</t>
    <phoneticPr fontId="1" type="noConversion"/>
  </si>
  <si>
    <t>rodr</t>
    <phoneticPr fontId="1" type="noConversion"/>
  </si>
  <si>
    <t>매출</t>
    <phoneticPr fontId="1" type="noConversion"/>
  </si>
  <si>
    <t>sale</t>
    <phoneticPr fontId="1" type="noConversion"/>
  </si>
  <si>
    <t>원가</t>
    <phoneticPr fontId="1" type="noConversion"/>
  </si>
  <si>
    <t>cost</t>
    <phoneticPr fontId="1" type="noConversion"/>
  </si>
  <si>
    <t xml:space="preserve">코스트센터 </t>
    <phoneticPr fontId="1" type="noConversion"/>
  </si>
  <si>
    <t>cost center</t>
  </si>
  <si>
    <t>cc</t>
    <phoneticPr fontId="1" type="noConversion"/>
  </si>
  <si>
    <t>수행</t>
    <phoneticPr fontId="1" type="noConversion"/>
  </si>
  <si>
    <t>performance</t>
    <phoneticPr fontId="1" type="noConversion"/>
  </si>
  <si>
    <t>prfm</t>
    <phoneticPr fontId="1" type="noConversion"/>
  </si>
  <si>
    <t>해외</t>
    <phoneticPr fontId="1" type="noConversion"/>
  </si>
  <si>
    <t>overseas</t>
    <phoneticPr fontId="1" type="noConversion"/>
  </si>
  <si>
    <t>ovse</t>
    <phoneticPr fontId="1" type="noConversion"/>
  </si>
  <si>
    <t>번호</t>
    <phoneticPr fontId="1" type="noConversion"/>
  </si>
  <si>
    <t>number</t>
    <phoneticPr fontId="1" type="noConversion"/>
  </si>
  <si>
    <t>no</t>
    <phoneticPr fontId="1" type="noConversion"/>
  </si>
  <si>
    <t>도메인</t>
    <phoneticPr fontId="1" type="noConversion"/>
  </si>
  <si>
    <t>domain</t>
    <phoneticPr fontId="1" type="noConversion"/>
  </si>
  <si>
    <t>do</t>
    <phoneticPr fontId="1" type="noConversion"/>
  </si>
  <si>
    <t>비즈니스 도메인</t>
    <phoneticPr fontId="1" type="noConversion"/>
  </si>
  <si>
    <t>bd</t>
    <phoneticPr fontId="1" type="noConversion"/>
  </si>
  <si>
    <t>부킹</t>
    <phoneticPr fontId="1" type="noConversion"/>
  </si>
  <si>
    <t>booking</t>
    <phoneticPr fontId="1" type="noConversion"/>
  </si>
  <si>
    <t>bk</t>
    <phoneticPr fontId="1" type="noConversion"/>
  </si>
  <si>
    <t>double_booking</t>
    <phoneticPr fontId="1" type="noConversion"/>
  </si>
  <si>
    <t>변경</t>
    <phoneticPr fontId="1" type="noConversion"/>
  </si>
  <si>
    <t>change</t>
    <phoneticPr fontId="1" type="noConversion"/>
  </si>
  <si>
    <t>수정</t>
    <phoneticPr fontId="1" type="noConversion"/>
  </si>
  <si>
    <t>update</t>
    <phoneticPr fontId="1" type="noConversion"/>
  </si>
  <si>
    <t>근무</t>
    <phoneticPr fontId="1" type="noConversion"/>
  </si>
  <si>
    <t>work</t>
    <phoneticPr fontId="1" type="noConversion"/>
  </si>
  <si>
    <t>회계연도</t>
    <phoneticPr fontId="1" type="noConversion"/>
  </si>
  <si>
    <t>fiscal_year</t>
    <phoneticPr fontId="1" type="noConversion"/>
  </si>
  <si>
    <t>기회</t>
    <phoneticPr fontId="1" type="noConversion"/>
  </si>
  <si>
    <t>opportunity</t>
    <phoneticPr fontId="1" type="noConversion"/>
  </si>
  <si>
    <t>opp</t>
    <phoneticPr fontId="1" type="noConversion"/>
  </si>
  <si>
    <t>버전</t>
    <phoneticPr fontId="1" type="noConversion"/>
  </si>
  <si>
    <t>version</t>
    <phoneticPr fontId="1" type="noConversion"/>
  </si>
  <si>
    <t>ver</t>
    <phoneticPr fontId="1" type="noConversion"/>
  </si>
  <si>
    <t>마감</t>
    <phoneticPr fontId="1" type="noConversion"/>
  </si>
  <si>
    <t>closing</t>
    <phoneticPr fontId="1" type="noConversion"/>
  </si>
  <si>
    <t>마진</t>
    <phoneticPr fontId="1" type="noConversion"/>
  </si>
  <si>
    <t>margin</t>
    <phoneticPr fontId="1" type="noConversion"/>
  </si>
  <si>
    <t>금액</t>
    <phoneticPr fontId="1" type="noConversion"/>
  </si>
  <si>
    <t>amount</t>
    <phoneticPr fontId="1" type="noConversion"/>
  </si>
  <si>
    <t>amt</t>
    <phoneticPr fontId="1" type="noConversion"/>
  </si>
  <si>
    <t>목표(대상)</t>
    <phoneticPr fontId="1" type="noConversion"/>
  </si>
  <si>
    <t>비율</t>
    <phoneticPr fontId="1" type="noConversion"/>
  </si>
  <si>
    <t>rate</t>
    <phoneticPr fontId="1" type="noConversion"/>
  </si>
  <si>
    <t>r</t>
    <phoneticPr fontId="1" type="noConversion"/>
  </si>
  <si>
    <t>빌링</t>
    <phoneticPr fontId="1" type="noConversion"/>
  </si>
  <si>
    <t>billing</t>
    <phoneticPr fontId="1" type="noConversion"/>
  </si>
  <si>
    <t>bill</t>
    <phoneticPr fontId="1" type="noConversion"/>
  </si>
  <si>
    <t>br</t>
    <phoneticPr fontId="1" type="noConversion"/>
  </si>
  <si>
    <t>billing rate</t>
    <phoneticPr fontId="1" type="noConversion"/>
  </si>
  <si>
    <t>합계 (총)</t>
    <phoneticPr fontId="1" type="noConversion"/>
  </si>
  <si>
    <t>total</t>
    <phoneticPr fontId="1" type="noConversion"/>
  </si>
  <si>
    <t>계산</t>
    <phoneticPr fontId="1" type="noConversion"/>
  </si>
  <si>
    <t>calculate</t>
    <phoneticPr fontId="1" type="noConversion"/>
  </si>
  <si>
    <t>cal</t>
    <phoneticPr fontId="1" type="noConversion"/>
  </si>
  <si>
    <t>투자</t>
    <phoneticPr fontId="1" type="noConversion"/>
  </si>
  <si>
    <t>investment</t>
    <phoneticPr fontId="1" type="noConversion"/>
  </si>
  <si>
    <t>iv</t>
    <phoneticPr fontId="1" type="noConversion"/>
  </si>
  <si>
    <t>자산</t>
    <phoneticPr fontId="1" type="noConversion"/>
  </si>
  <si>
    <t>asset</t>
    <phoneticPr fontId="1" type="noConversion"/>
  </si>
  <si>
    <t>경비</t>
    <phoneticPr fontId="1" type="noConversion"/>
  </si>
  <si>
    <t>expense</t>
    <phoneticPr fontId="1" type="noConversion"/>
  </si>
  <si>
    <t>exp</t>
    <phoneticPr fontId="1" type="noConversion"/>
  </si>
  <si>
    <t>인건비</t>
    <phoneticPr fontId="1" type="noConversion"/>
  </si>
  <si>
    <t>labor</t>
    <phoneticPr fontId="1" type="noConversion"/>
  </si>
  <si>
    <t>remark</t>
    <phoneticPr fontId="1" type="noConversion"/>
  </si>
  <si>
    <t>추정</t>
    <phoneticPr fontId="1" type="noConversion"/>
  </si>
  <si>
    <t>estimate</t>
    <phoneticPr fontId="1" type="noConversion"/>
  </si>
  <si>
    <t>estm</t>
    <phoneticPr fontId="1" type="noConversion"/>
  </si>
  <si>
    <t>평균</t>
    <phoneticPr fontId="1" type="noConversion"/>
  </si>
  <si>
    <t>average</t>
    <phoneticPr fontId="1" type="noConversion"/>
  </si>
  <si>
    <t>avg</t>
    <phoneticPr fontId="1" type="noConversion"/>
  </si>
  <si>
    <t>메뉴</t>
    <phoneticPr fontId="1" type="noConversion"/>
  </si>
  <si>
    <t>menu</t>
    <phoneticPr fontId="1" type="noConversion"/>
  </si>
  <si>
    <t>예산</t>
    <phoneticPr fontId="1" type="noConversion"/>
  </si>
  <si>
    <t>budget</t>
    <phoneticPr fontId="1" type="noConversion"/>
  </si>
  <si>
    <t>bgt</t>
    <phoneticPr fontId="1" type="noConversion"/>
  </si>
  <si>
    <t xml:space="preserve">브랜드 </t>
    <phoneticPr fontId="1" type="noConversion"/>
  </si>
  <si>
    <t>brand</t>
    <phoneticPr fontId="1" type="noConversion"/>
  </si>
  <si>
    <t>리스크</t>
    <phoneticPr fontId="1" type="noConversion"/>
  </si>
  <si>
    <t>risk</t>
    <phoneticPr fontId="1" type="noConversion"/>
  </si>
  <si>
    <t>관리</t>
    <phoneticPr fontId="1" type="noConversion"/>
  </si>
  <si>
    <t>management</t>
    <phoneticPr fontId="1" type="noConversion"/>
  </si>
  <si>
    <t>mgmt</t>
    <phoneticPr fontId="1" type="noConversion"/>
  </si>
  <si>
    <t>예외</t>
    <phoneticPr fontId="1" type="noConversion"/>
  </si>
  <si>
    <t>exception</t>
    <phoneticPr fontId="1" type="noConversion"/>
  </si>
  <si>
    <t>excp</t>
    <phoneticPr fontId="1" type="noConversion"/>
  </si>
  <si>
    <t>부문</t>
    <phoneticPr fontId="1" type="noConversion"/>
  </si>
  <si>
    <t>sector</t>
    <phoneticPr fontId="1" type="noConversion"/>
  </si>
  <si>
    <t>sctr</t>
    <phoneticPr fontId="1" type="noConversion"/>
  </si>
  <si>
    <t>본부</t>
    <phoneticPr fontId="1" type="noConversion"/>
  </si>
  <si>
    <t>headquarter</t>
    <phoneticPr fontId="1" type="noConversion"/>
  </si>
  <si>
    <t>hdqt</t>
    <phoneticPr fontId="1" type="noConversion"/>
  </si>
  <si>
    <t>견적</t>
    <phoneticPr fontId="1" type="noConversion"/>
  </si>
  <si>
    <t>quotation</t>
    <phoneticPr fontId="1" type="noConversion"/>
  </si>
  <si>
    <t>qttn</t>
    <phoneticPr fontId="1" type="noConversion"/>
  </si>
  <si>
    <t>발행</t>
    <phoneticPr fontId="1" type="noConversion"/>
  </si>
  <si>
    <t>publish</t>
    <phoneticPr fontId="1" type="noConversion"/>
  </si>
  <si>
    <t>pblsh</t>
    <phoneticPr fontId="1" type="noConversion"/>
  </si>
  <si>
    <t>책임</t>
    <phoneticPr fontId="1" type="noConversion"/>
  </si>
  <si>
    <t>responsible</t>
    <phoneticPr fontId="1" type="noConversion"/>
  </si>
  <si>
    <t>rspb</t>
    <phoneticPr fontId="1" type="noConversion"/>
  </si>
  <si>
    <t>계약</t>
    <phoneticPr fontId="1" type="noConversion"/>
  </si>
  <si>
    <t>contract</t>
    <phoneticPr fontId="1" type="noConversion"/>
  </si>
  <si>
    <t>cnrc</t>
    <phoneticPr fontId="1" type="noConversion"/>
  </si>
  <si>
    <t>이월</t>
    <phoneticPr fontId="1" type="noConversion"/>
  </si>
  <si>
    <t>carry over</t>
    <phoneticPr fontId="1" type="noConversion"/>
  </si>
  <si>
    <t>crov</t>
    <phoneticPr fontId="1" type="noConversion"/>
  </si>
  <si>
    <t>융복합</t>
    <phoneticPr fontId="1" type="noConversion"/>
  </si>
  <si>
    <t>convergence</t>
    <phoneticPr fontId="1" type="noConversion"/>
  </si>
  <si>
    <t>cnvg</t>
    <phoneticPr fontId="1" type="noConversion"/>
  </si>
  <si>
    <t>자회사</t>
    <phoneticPr fontId="1" type="noConversion"/>
  </si>
  <si>
    <t>subsidiary company</t>
    <phoneticPr fontId="1" type="noConversion"/>
  </si>
  <si>
    <t>sc</t>
    <phoneticPr fontId="1" type="noConversion"/>
  </si>
  <si>
    <t>직책</t>
  </si>
  <si>
    <t>jikcheck</t>
    <phoneticPr fontId="1" type="noConversion"/>
  </si>
  <si>
    <t>직무</t>
    <phoneticPr fontId="1" type="noConversion"/>
  </si>
  <si>
    <t>jikmu</t>
    <phoneticPr fontId="1" type="noConversion"/>
  </si>
  <si>
    <t>증가</t>
    <phoneticPr fontId="1" type="noConversion"/>
  </si>
  <si>
    <t>increase</t>
    <phoneticPr fontId="1" type="noConversion"/>
  </si>
  <si>
    <t>incre</t>
    <phoneticPr fontId="1" type="noConversion"/>
  </si>
  <si>
    <t>감소</t>
    <phoneticPr fontId="1" type="noConversion"/>
  </si>
  <si>
    <t>decrease</t>
    <phoneticPr fontId="1" type="noConversion"/>
  </si>
  <si>
    <t>decre</t>
    <phoneticPr fontId="1" type="noConversion"/>
  </si>
  <si>
    <t>메뉴 구조</t>
    <phoneticPr fontId="1" type="noConversion"/>
  </si>
  <si>
    <t>테이블 리스트</t>
  </si>
  <si>
    <t>참고</t>
    <phoneticPr fontId="1" type="noConversion"/>
  </si>
  <si>
    <t>관리 번호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</si>
  <si>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</si>
  <si>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</si>
  <si>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</si>
  <si>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 xml:space="preserve"> 화면번호</t>
    <phoneticPr fontId="1" type="noConversion"/>
  </si>
  <si>
    <t>순번</t>
    <phoneticPr fontId="1" type="noConversion"/>
  </si>
  <si>
    <t>분류</t>
    <phoneticPr fontId="1" type="noConversion"/>
  </si>
  <si>
    <t>Namespace</t>
  </si>
  <si>
    <t>Table 영문 명</t>
  </si>
  <si>
    <t>Table 한글 명</t>
  </si>
  <si>
    <t>Table 상세</t>
  </si>
  <si>
    <t>연관시스템</t>
    <phoneticPr fontId="1" type="noConversion"/>
  </si>
  <si>
    <t>I/F방식</t>
  </si>
  <si>
    <t>I/F주기</t>
  </si>
  <si>
    <t>AI 참조</t>
    <phoneticPr fontId="1" type="noConversion"/>
  </si>
  <si>
    <t>비고</t>
  </si>
  <si>
    <t>업무 담당자</t>
    <phoneticPr fontId="1" type="noConversion"/>
  </si>
  <si>
    <t>대상 시스템 담당자</t>
    <phoneticPr fontId="1" type="noConversion"/>
  </si>
  <si>
    <t>Prefix</t>
    <phoneticPr fontId="1" type="noConversion"/>
  </si>
  <si>
    <t>Table 현황</t>
  </si>
  <si>
    <t>인터페이스 Table 현황</t>
  </si>
  <si>
    <t>공통</t>
  </si>
  <si>
    <t>common</t>
  </si>
  <si>
    <t>버전 테이블</t>
    <phoneticPr fontId="1" type="noConversion"/>
  </si>
  <si>
    <t>PL관련 Monthly 배치 버전 관리 테이블</t>
    <phoneticPr fontId="1" type="noConversion"/>
  </si>
  <si>
    <t>내부</t>
  </si>
  <si>
    <t>공통</t>
    <phoneticPr fontId="1" type="noConversion"/>
  </si>
  <si>
    <t>version_sfdc</t>
    <phoneticPr fontId="1" type="noConversion"/>
  </si>
  <si>
    <t>sfdc 버전 테이블</t>
    <phoneticPr fontId="1" type="noConversion"/>
  </si>
  <si>
    <t>Deal Stage관련 Daily 배치 버전 관리 테이블</t>
    <phoneticPr fontId="1" type="noConversion"/>
  </si>
  <si>
    <t>batch_list</t>
    <phoneticPr fontId="1" type="noConversion"/>
  </si>
  <si>
    <t>배치 대상 프로시저 관리 테이블</t>
    <phoneticPr fontId="1" type="noConversion"/>
  </si>
  <si>
    <t xml:space="preserve">배치 대상 정보를 관리하는 테이블 </t>
    <phoneticPr fontId="1" type="noConversion"/>
  </si>
  <si>
    <t>batch_log</t>
    <phoneticPr fontId="1" type="noConversion"/>
  </si>
  <si>
    <t>배치로그 관리 테이블</t>
    <phoneticPr fontId="1" type="noConversion"/>
  </si>
  <si>
    <t xml:space="preserve">배치로그 관리하는 테이블 </t>
    <phoneticPr fontId="1" type="noConversion"/>
  </si>
  <si>
    <t>menu</t>
  </si>
  <si>
    <t>메뉴 네비게이션용 테이블</t>
  </si>
  <si>
    <t>O</t>
    <phoneticPr fontId="1" type="noConversion"/>
  </si>
  <si>
    <t>메인 화면</t>
    <phoneticPr fontId="1" type="noConversion"/>
  </si>
  <si>
    <t>code_header</t>
    <phoneticPr fontId="1" type="noConversion"/>
  </si>
  <si>
    <t>Code Header 관리 테이블</t>
  </si>
  <si>
    <t>Code Header 관리 테이블</t>
    <phoneticPr fontId="1" type="noConversion"/>
  </si>
  <si>
    <t>main/공통</t>
    <phoneticPr fontId="1" type="noConversion"/>
  </si>
  <si>
    <t>COM</t>
    <phoneticPr fontId="1" type="noConversion"/>
  </si>
  <si>
    <t>수주매출</t>
  </si>
  <si>
    <t>code_items</t>
  </si>
  <si>
    <t>Code Item 관리 테이블</t>
    <phoneticPr fontId="1" type="noConversion"/>
  </si>
  <si>
    <t>인력</t>
  </si>
  <si>
    <t>대시보드</t>
    <phoneticPr fontId="1" type="noConversion"/>
  </si>
  <si>
    <t>if_gl_account</t>
  </si>
  <si>
    <t>GL 계정 테이블 I/F 테이블</t>
  </si>
  <si>
    <t>ERP 시스템 내 GL계정 정보를 받는 I/F 테이블</t>
  </si>
  <si>
    <t>ERP</t>
  </si>
  <si>
    <t>IFM(인터페이스모듈)-ERP READ-&gt;IF DB INSERT-&gt;본 DB INSERT</t>
    <phoneticPr fontId="1" type="noConversion"/>
  </si>
  <si>
    <t>기재민M</t>
    <phoneticPr fontId="1" type="noConversion"/>
  </si>
  <si>
    <t>김성재M</t>
    <phoneticPr fontId="1" type="noConversion"/>
  </si>
  <si>
    <t>수주/매출</t>
  </si>
  <si>
    <t>ICS</t>
    <phoneticPr fontId="2" type="noConversion"/>
  </si>
  <si>
    <t>외주비</t>
    <phoneticPr fontId="1" type="noConversion"/>
  </si>
  <si>
    <t>AI Agent</t>
    <phoneticPr fontId="1" type="noConversion"/>
  </si>
  <si>
    <t>ERP 시스템 내 GL계정 정보를 받는 테이블</t>
  </si>
  <si>
    <t>IFM-ERP READ-&gt;IF DB INSERT-&gt;본 DB INSERT</t>
  </si>
  <si>
    <t>AP(세금계산서)</t>
    <phoneticPr fontId="2" type="noConversion"/>
  </si>
  <si>
    <t>RSP</t>
    <phoneticPr fontId="2" type="noConversion"/>
  </si>
  <si>
    <t>PL</t>
    <phoneticPr fontId="1" type="noConversion"/>
  </si>
  <si>
    <t>전사 PL</t>
    <phoneticPr fontId="1" type="noConversion"/>
  </si>
  <si>
    <t>전사 PL Chart뷰</t>
    <phoneticPr fontId="1" type="noConversion"/>
  </si>
  <si>
    <t>if_commitment_item</t>
  </si>
  <si>
    <t>약정항목(중계정) I/F 테이블</t>
    <phoneticPr fontId="1" type="noConversion"/>
  </si>
  <si>
    <t>ERP 시스템 내 중계정 정보를 받는 I/F 테이블</t>
  </si>
  <si>
    <t>리포트</t>
    <phoneticPr fontId="2" type="noConversion"/>
  </si>
  <si>
    <t>SGA</t>
    <phoneticPr fontId="2" type="noConversion"/>
  </si>
  <si>
    <t>SG&amp;A</t>
  </si>
  <si>
    <t>SG&amp;A(인건비)</t>
  </si>
  <si>
    <t>매출/마진 구분별 실적
(Account별/부문별/…)</t>
    <phoneticPr fontId="1" type="noConversion"/>
  </si>
  <si>
    <t>ERP 시스템 내 중계정 정보를 받는 테이블</t>
  </si>
  <si>
    <t>결재</t>
    <phoneticPr fontId="2" type="noConversion"/>
  </si>
  <si>
    <t>IVT</t>
    <phoneticPr fontId="2" type="noConversion"/>
  </si>
  <si>
    <t>SG&amp;A(투자)</t>
  </si>
  <si>
    <t>DT 주요과제 실적 상세
(Account별/조직별)</t>
    <phoneticPr fontId="1" type="noConversion"/>
  </si>
  <si>
    <t>조직 I/F 테이블</t>
    <phoneticPr fontId="1" type="noConversion"/>
  </si>
  <si>
    <t>HR 시스템 내 조직 정보 I/F 받는 테이블</t>
  </si>
  <si>
    <t>HR</t>
  </si>
  <si>
    <t>IS</t>
    <phoneticPr fontId="1" type="noConversion"/>
  </si>
  <si>
    <t>Batch</t>
  </si>
  <si>
    <t>전찬현M</t>
    <phoneticPr fontId="1" type="noConversion"/>
  </si>
  <si>
    <t>관리자메뉴</t>
    <phoneticPr fontId="2" type="noConversion"/>
  </si>
  <si>
    <t>ADM</t>
    <phoneticPr fontId="1" type="noConversion"/>
  </si>
  <si>
    <t>SG&amp;A(공통)</t>
  </si>
  <si>
    <t>Offshoring 실적 상세
(Account별/조직별)</t>
    <phoneticPr fontId="1" type="noConversion"/>
  </si>
  <si>
    <t>org</t>
  </si>
  <si>
    <t>조직 정보를 관리하는 테이블</t>
    <phoneticPr fontId="1" type="noConversion"/>
  </si>
  <si>
    <t>IFM-IF DB -&gt; 본 DB INSERT Procedure(최신일자 data read, 값 검증)</t>
  </si>
  <si>
    <t>INF</t>
    <phoneticPr fontId="1" type="noConversion"/>
  </si>
  <si>
    <t>총합</t>
  </si>
  <si>
    <t>common</t>
    <phoneticPr fontId="1" type="noConversion"/>
  </si>
  <si>
    <t>org_type</t>
    <phoneticPr fontId="1" type="noConversion"/>
  </si>
  <si>
    <t xml:space="preserve">조직 유형 맵핑 테이블 </t>
    <phoneticPr fontId="1" type="noConversion"/>
  </si>
  <si>
    <t>조직 유형을 관리하는 테이블</t>
    <phoneticPr fontId="1" type="noConversion"/>
  </si>
  <si>
    <t>내부</t>
    <phoneticPr fontId="1" type="noConversion"/>
  </si>
  <si>
    <t xml:space="preserve">Non-MM 실적 상세
(조직, Account별) </t>
    <phoneticPr fontId="1" type="noConversion"/>
  </si>
  <si>
    <t>if_org_map</t>
  </si>
  <si>
    <t>사원-조직 매핑 I/F 테이블</t>
  </si>
  <si>
    <t>사원-조직 매핑 I/F 테이블</t>
    <phoneticPr fontId="1" type="noConversion"/>
  </si>
  <si>
    <t>부문/본부 O/I 상세</t>
    <phoneticPr fontId="1" type="noConversion"/>
  </si>
  <si>
    <t>org_map</t>
    <phoneticPr fontId="1" type="noConversion"/>
  </si>
  <si>
    <t>사원-조직 매핑 테이블</t>
    <phoneticPr fontId="1" type="noConversion"/>
  </si>
  <si>
    <t>customer_type</t>
  </si>
  <si>
    <t>Account 별 고객사 관리 테이블</t>
  </si>
  <si>
    <t>Account 별 고객사를 관리하는 테이블</t>
  </si>
  <si>
    <t>Offshoring 활용 PJT 현황
(Account, 사업유형별)</t>
    <phoneticPr fontId="1" type="noConversion"/>
  </si>
  <si>
    <t>if_customer</t>
    <phoneticPr fontId="1" type="noConversion"/>
  </si>
  <si>
    <t>고객사 I/F 테이블</t>
    <phoneticPr fontId="1" type="noConversion"/>
  </si>
  <si>
    <t>ERP 시스템 내 고객사 정보 I/F 받는 테이블</t>
  </si>
  <si>
    <t>김세훈M</t>
    <phoneticPr fontId="1" type="noConversion"/>
  </si>
  <si>
    <t>삭제</t>
    <phoneticPr fontId="1" type="noConversion"/>
  </si>
  <si>
    <t>추정 PL</t>
    <phoneticPr fontId="1" type="noConversion"/>
  </si>
  <si>
    <t>Pipeline 상세
(단계별, 금액별, 잔여원,사업자선정방식)</t>
    <phoneticPr fontId="1" type="noConversion"/>
  </si>
  <si>
    <t>고객사 공통 테이블</t>
    <phoneticPr fontId="1" type="noConversion"/>
  </si>
  <si>
    <t>고객사 정보를 관리하는 테이블</t>
    <phoneticPr fontId="1" type="noConversion"/>
  </si>
  <si>
    <t>if_project</t>
    <phoneticPr fontId="1" type="noConversion"/>
  </si>
  <si>
    <t>프로젝트 I/F 테이블</t>
    <phoneticPr fontId="1" type="noConversion"/>
  </si>
  <si>
    <t>PROMIS 시스템 내 프로젝트 정보 I/F 받는 테이블</t>
  </si>
  <si>
    <t>PROMIS</t>
    <phoneticPr fontId="1" type="noConversion"/>
  </si>
  <si>
    <t>최창현M</t>
    <phoneticPr fontId="1" type="noConversion"/>
  </si>
  <si>
    <t>SG&amp;A</t>
    <phoneticPr fontId="1" type="noConversion"/>
  </si>
  <si>
    <t>SG&amp;A 통합 조회 (실적/추정)</t>
    <phoneticPr fontId="1" type="noConversion"/>
  </si>
  <si>
    <t>프로젝트 정보를 관리하는 테이블</t>
    <phoneticPr fontId="1" type="noConversion"/>
  </si>
  <si>
    <t>project_platform</t>
    <phoneticPr fontId="1" type="noConversion"/>
  </si>
  <si>
    <t>프로젝트 플랫폼 테이블</t>
    <phoneticPr fontId="1" type="noConversion"/>
  </si>
  <si>
    <t>프로젝트 정보를 관리하는 테이블(for 플랫폼/DT)</t>
    <phoneticPr fontId="1" type="noConversion"/>
  </si>
  <si>
    <t>target_account</t>
  </si>
  <si>
    <t>고객 Acocunt 목표 테이블</t>
    <phoneticPr fontId="1" type="noConversion"/>
  </si>
  <si>
    <t>고객 Acocunt 목표 관리 테이블</t>
    <phoneticPr fontId="1" type="noConversion"/>
  </si>
  <si>
    <t>target</t>
  </si>
  <si>
    <t>목표 테이블</t>
    <phoneticPr fontId="1" type="noConversion"/>
  </si>
  <si>
    <t>조직별 연간 목표 금액을 관리하는 테이블</t>
    <phoneticPr fontId="1" type="noConversion"/>
  </si>
  <si>
    <t>dt_task</t>
    <phoneticPr fontId="1" type="noConversion"/>
  </si>
  <si>
    <t>DT과제 관리 테이블</t>
    <phoneticPr fontId="1" type="noConversion"/>
  </si>
  <si>
    <t>if_dt_task</t>
    <phoneticPr fontId="1" type="noConversion"/>
  </si>
  <si>
    <t>DT과제 I/F 테이블</t>
    <phoneticPr fontId="1" type="noConversion"/>
  </si>
  <si>
    <t>SFDC</t>
    <phoneticPr fontId="1" type="noConversion"/>
  </si>
  <si>
    <t>고객 Account 관리 테이블</t>
    <phoneticPr fontId="1" type="noConversion"/>
  </si>
  <si>
    <t>ACCOUNT 별 고객사를 관리하는 테이블</t>
    <phoneticPr fontId="1" type="noConversion"/>
  </si>
  <si>
    <t>if_account</t>
    <phoneticPr fontId="1" type="noConversion"/>
  </si>
  <si>
    <t>고객 Account I/F 테이블</t>
    <phoneticPr fontId="1" type="noConversion"/>
  </si>
  <si>
    <t>ACCOUNT 별 고객사 I/F 테이블</t>
    <phoneticPr fontId="1" type="noConversion"/>
  </si>
  <si>
    <t>수주매출</t>
    <phoneticPr fontId="1" type="noConversion"/>
  </si>
  <si>
    <t>pl</t>
    <phoneticPr fontId="1" type="noConversion"/>
  </si>
  <si>
    <t>매출 장판지 I/F 테이블</t>
    <phoneticPr fontId="1" type="noConversion"/>
  </si>
  <si>
    <t>ERP 시스템 내 장판지 정보 I/F 받는 테이블</t>
  </si>
  <si>
    <t>SG&amp;A(경비) 현황</t>
    <phoneticPr fontId="1" type="noConversion"/>
  </si>
  <si>
    <t>pl</t>
  </si>
  <si>
    <t>if_wg</t>
    <phoneticPr fontId="1" type="noConversion"/>
  </si>
  <si>
    <t>WG I/F 테이블</t>
    <phoneticPr fontId="1" type="noConversion"/>
  </si>
  <si>
    <t>WG 시스템(FPT) 내 매출/원가 (본부별)정보 I/F 받는 테이블</t>
    <phoneticPr fontId="1" type="noConversion"/>
  </si>
  <si>
    <t>ERP</t>
    <phoneticPr fontId="1" type="noConversion"/>
  </si>
  <si>
    <t>wideview</t>
  </si>
  <si>
    <t>매출 장판지 관리하는 테이블</t>
  </si>
  <si>
    <t>SG&amp;A(투자비) 현황</t>
    <phoneticPr fontId="1" type="noConversion"/>
  </si>
  <si>
    <t>if_platform</t>
    <phoneticPr fontId="1" type="noConversion"/>
  </si>
  <si>
    <t>Platform I/F 테이블</t>
    <phoneticPr fontId="1" type="noConversion"/>
  </si>
  <si>
    <t>Platform 매출/원가 정보 I/F 받는 테이블</t>
    <phoneticPr fontId="1" type="noConversion"/>
  </si>
  <si>
    <t>contract_amt</t>
    <phoneticPr fontId="1" type="noConversion"/>
  </si>
  <si>
    <t>고객 Account, DT과제별 수주금액 테이블</t>
    <phoneticPr fontId="1" type="noConversion"/>
  </si>
  <si>
    <t>조직 별 BR 현황</t>
    <phoneticPr fontId="1" type="noConversion"/>
  </si>
  <si>
    <t>if_sfdc</t>
    <phoneticPr fontId="1" type="noConversion"/>
  </si>
  <si>
    <t xml:space="preserve">SFDC I/F 테이블		</t>
    <phoneticPr fontId="1" type="noConversion"/>
  </si>
  <si>
    <t>SFDC 시스템 내 수주 정보 I/F 받는 테이블</t>
    <phoneticPr fontId="1" type="noConversion"/>
  </si>
  <si>
    <t>sfdc_contract</t>
    <phoneticPr fontId="1" type="noConversion"/>
  </si>
  <si>
    <t>SFDC 계약완료 프로젝트 테이블</t>
    <phoneticPr fontId="1" type="noConversion"/>
  </si>
  <si>
    <t>Deal Stage가 Contracted인 프로젝트 저장 테이블</t>
    <phoneticPr fontId="1" type="noConversion"/>
  </si>
  <si>
    <t>투자 프로젝트 정보</t>
    <phoneticPr fontId="1" type="noConversion"/>
  </si>
  <si>
    <t>rsp</t>
  </si>
  <si>
    <t>if_prj_labor</t>
    <phoneticPr fontId="1" type="noConversion"/>
  </si>
  <si>
    <t>프로젝트 월 별 인건비 I/F 테이블</t>
  </si>
  <si>
    <t xml:space="preserve">PROMIS 내 Delivery 조직 프로젝트 인건비 I/F 테이블 </t>
  </si>
  <si>
    <t>PROMIS</t>
  </si>
  <si>
    <t>양주영M</t>
    <phoneticPr fontId="1" type="noConversion"/>
  </si>
  <si>
    <t>Account 기준</t>
    <phoneticPr fontId="1" type="noConversion"/>
  </si>
  <si>
    <t>prj_labor</t>
    <phoneticPr fontId="1" type="noConversion"/>
  </si>
  <si>
    <t>프로젝트 월 별 인건비 테이블</t>
  </si>
  <si>
    <t xml:space="preserve">PROMIS 내 Delivery 조직 프로젝트 인건비 저장 테이블 </t>
  </si>
  <si>
    <t>if_org_mm</t>
  </si>
  <si>
    <t>PROMIS 조직별 MM I/F 테이블</t>
  </si>
  <si>
    <t>PROMIS에서 조직별 MM을 I/F 받는 테이블</t>
  </si>
  <si>
    <t>IS</t>
  </si>
  <si>
    <t>org_mm</t>
    <phoneticPr fontId="1" type="noConversion"/>
  </si>
  <si>
    <t>PROMIS 인력 경영계획(M/M) 테이블</t>
    <phoneticPr fontId="1" type="noConversion"/>
  </si>
  <si>
    <t>PROMIS 인력 경영계획(M/M) 저장 테이블</t>
    <phoneticPr fontId="1" type="noConversion"/>
  </si>
  <si>
    <t>조직 정보</t>
    <phoneticPr fontId="1" type="noConversion"/>
  </si>
  <si>
    <t>if_org_total_labor</t>
    <phoneticPr fontId="1" type="noConversion"/>
  </si>
  <si>
    <t>조직 연도 별 총_인건비 I/F 테이블</t>
  </si>
  <si>
    <t>Delivery 조직 총 인건비 I/F 테이블</t>
    <phoneticPr fontId="1" type="noConversion"/>
  </si>
  <si>
    <t>업무 관리자 메뉴</t>
    <phoneticPr fontId="1" type="noConversion"/>
  </si>
  <si>
    <t>산정 기준 관리</t>
    <phoneticPr fontId="1" type="noConversion"/>
  </si>
  <si>
    <t>org_total_labor</t>
  </si>
  <si>
    <t>조직 연도 별 총_인건비 테이블</t>
  </si>
  <si>
    <t>Delivery 조직 총 인건비 저장 테이블</t>
    <phoneticPr fontId="1" type="noConversion"/>
  </si>
  <si>
    <t>opp_labor</t>
  </si>
  <si>
    <t>사업기회 별 월 별 인건비 테이블</t>
  </si>
  <si>
    <t>SFDC 내 사업기회 인건비 저장 테이블</t>
  </si>
  <si>
    <t>sga</t>
  </si>
  <si>
    <t>if_investment</t>
    <phoneticPr fontId="1" type="noConversion"/>
  </si>
  <si>
    <t>SG&amp;A 투자 월추정 I/F 테이블</t>
    <phoneticPr fontId="1" type="noConversion"/>
  </si>
  <si>
    <t>ERP 투자 월추정 데이터 정보 I/F 받는 테이블</t>
  </si>
  <si>
    <t>SG&amp;A 투자 월추정 테이블</t>
  </si>
  <si>
    <t>SG&amp;A 투자월추정 데이터 관리하는 테이블</t>
  </si>
  <si>
    <t>SG&amp;A(관리)</t>
    <phoneticPr fontId="1" type="noConversion"/>
  </si>
  <si>
    <t>expense_co</t>
    <phoneticPr fontId="1" type="noConversion"/>
  </si>
  <si>
    <t>SG&amp;A 관리회계 비용 테이블</t>
    <phoneticPr fontId="1" type="noConversion"/>
  </si>
  <si>
    <t>SG&amp;A 인건비/경비 위임비용 테이블</t>
    <phoneticPr fontId="1" type="noConversion"/>
  </si>
  <si>
    <t>if_expense_co</t>
    <phoneticPr fontId="1" type="noConversion"/>
  </si>
  <si>
    <t>SG&amp;A 관리회계 비용 I/F 테이블</t>
    <phoneticPr fontId="1" type="noConversion"/>
  </si>
  <si>
    <t>SG&amp;A 인건비/경비 위임비용 I/F 테이블</t>
    <phoneticPr fontId="1" type="noConversion"/>
  </si>
  <si>
    <t>SG&amp;A(경비)</t>
  </si>
  <si>
    <t>if_expense</t>
    <phoneticPr fontId="1" type="noConversion"/>
  </si>
  <si>
    <t>SG&amp;A 경비 월추정 I/F 테이블</t>
    <phoneticPr fontId="1" type="noConversion"/>
  </si>
  <si>
    <t>ERP 예산실적레포트에서 조직별 경비 I/F 받는 테이블</t>
  </si>
  <si>
    <t>expense</t>
  </si>
  <si>
    <t>SG&amp;A 경비 월추정 테이블(ERP)</t>
    <phoneticPr fontId="1" type="noConversion"/>
  </si>
  <si>
    <t>SG&amp;A(경비)</t>
    <phoneticPr fontId="1" type="noConversion"/>
  </si>
  <si>
    <t>sga</t>
    <phoneticPr fontId="1" type="noConversion"/>
  </si>
  <si>
    <t>expense_view</t>
    <phoneticPr fontId="1" type="noConversion"/>
  </si>
  <si>
    <t>SG&amp;A 경비 월추정 테이블(사내간접비 포함)</t>
    <phoneticPr fontId="1" type="noConversion"/>
  </si>
  <si>
    <t>SG&amp;A 장판지</t>
  </si>
  <si>
    <t>조직별 SG&amp;A 장판지 테이블</t>
  </si>
  <si>
    <t>외주비</t>
  </si>
  <si>
    <t>oi</t>
    <phoneticPr fontId="1" type="noConversion"/>
  </si>
  <si>
    <t>if_ito</t>
    <phoneticPr fontId="1" type="noConversion"/>
  </si>
  <si>
    <t>외주비 실적/계획(K-BP/AGS(ATS)) I/F Table</t>
  </si>
  <si>
    <t>외주비 실적 구분 I/F Table</t>
  </si>
  <si>
    <t>PROMIS-&gt;본 DB INSERT</t>
    <phoneticPr fontId="1" type="noConversion"/>
  </si>
  <si>
    <t>oi</t>
  </si>
  <si>
    <t>ito</t>
    <phoneticPr fontId="1" type="noConversion"/>
  </si>
  <si>
    <t>외주비 실적/계획(K-BP/AGS(ATS)) 구분 Table</t>
  </si>
  <si>
    <t>PROMIS 외주비 실적/계획 구분 Table</t>
  </si>
  <si>
    <t>4/30 PROMIS 외주비 실적 Table 추가</t>
  </si>
  <si>
    <t>ito_sfdc</t>
    <phoneticPr fontId="1" type="noConversion"/>
  </si>
  <si>
    <t>외주비 추정(K-BP/AGS(ATS)) 구분 Table</t>
  </si>
  <si>
    <t>SFDC 외주비 추정 구분 Table</t>
  </si>
  <si>
    <t>4/30 SFDC 외주비 추정 Table 추가</t>
  </si>
  <si>
    <t>외주비 장판지 (K-BP/AGS(ATS)) Table</t>
    <phoneticPr fontId="1" type="noConversion"/>
  </si>
  <si>
    <t>외주비 실적 장판지 Table</t>
    <phoneticPr fontId="1" type="noConversion"/>
  </si>
  <si>
    <t>ito_map</t>
  </si>
  <si>
    <t>외주비 구분 맵핑 테이블</t>
    <phoneticPr fontId="1" type="noConversion"/>
  </si>
  <si>
    <t>외주비 구분 맵핑 테이블 (KBP/ATS/AGS)</t>
    <phoneticPr fontId="1" type="noConversion"/>
  </si>
  <si>
    <t>SG&amp;A(인건비) 현황</t>
    <phoneticPr fontId="1" type="noConversion"/>
  </si>
  <si>
    <t>if_pl</t>
    <phoneticPr fontId="1" type="noConversion"/>
  </si>
  <si>
    <t>자회사 I/F 테이블</t>
    <phoneticPr fontId="1" type="noConversion"/>
  </si>
  <si>
    <t>자회사 시스템(FPT) 내 매출/원가 정보 I/F 받는 테이블</t>
    <phoneticPr fontId="1" type="noConversion"/>
  </si>
  <si>
    <t>4/28 자회사용 분리 Table 추가</t>
    <phoneticPr fontId="1" type="noConversion"/>
  </si>
  <si>
    <t>자회사</t>
  </si>
  <si>
    <t>자회사 SG&amp;A Wide View</t>
    <phoneticPr fontId="1" type="noConversion"/>
  </si>
  <si>
    <t xml:space="preserve">자회사 SG&amp;A 장판지 테이블 </t>
    <phoneticPr fontId="1" type="noConversion"/>
  </si>
  <si>
    <t>자회사 SG&amp;A 경비 I/F 테이블</t>
    <phoneticPr fontId="1" type="noConversion"/>
  </si>
  <si>
    <t>자회사 SG&amp;A 경비 데이터 정보 I/F 테이블</t>
    <phoneticPr fontId="1" type="noConversion"/>
  </si>
  <si>
    <t>자회사 SG&amp;A 경비 테이블</t>
    <phoneticPr fontId="1" type="noConversion"/>
  </si>
  <si>
    <t>자회사 SG&amp;A 경비 데이터 정보 저장 테이블</t>
    <phoneticPr fontId="1" type="noConversion"/>
  </si>
  <si>
    <t>if_labor</t>
    <phoneticPr fontId="1" type="noConversion"/>
  </si>
  <si>
    <t>자회사 SG&amp;A 인건비 I/F 테이블</t>
    <phoneticPr fontId="1" type="noConversion"/>
  </si>
  <si>
    <t>자회사 SG&amp;A 인건비 데이터 정보 I/F 테이블</t>
    <phoneticPr fontId="1" type="noConversion"/>
  </si>
  <si>
    <t>자회사 SG&amp;A 인건비 테이블</t>
    <phoneticPr fontId="1" type="noConversion"/>
  </si>
  <si>
    <t>자회사 SG&amp;A 인건비 데이터 정보 저장 테이블</t>
    <phoneticPr fontId="1" type="noConversion"/>
  </si>
  <si>
    <t>pl_wideview</t>
    <phoneticPr fontId="1" type="noConversion"/>
  </si>
  <si>
    <t xml:space="preserve">자회사 PL 장판지 테이블 </t>
    <phoneticPr fontId="1" type="noConversion"/>
  </si>
  <si>
    <t>5/14 자회사용 분리 Table 추가 (pl_wideview에서 분리)</t>
    <phoneticPr fontId="1" type="noConversion"/>
  </si>
  <si>
    <t>INDEX</t>
  </si>
  <si>
    <t>Table Name</t>
  </si>
  <si>
    <t>Seq</t>
  </si>
  <si>
    <t>if_id</t>
    <phoneticPr fontId="1" type="noConversion"/>
  </si>
  <si>
    <t>인터페이스 ID</t>
    <phoneticPr fontId="1" type="noConversion"/>
  </si>
  <si>
    <t xml:space="preserve"> </t>
  </si>
  <si>
    <t>배치 트리거 발생시(월마감버튼 클릭 등) version 테이블에 인터페이스 아이디(if_id)와 버전키(ver 필드)가 생성된다.
모든 인터페이스 테이블과 본테이블은 버전키(ver)를 갖고 인터페이스를 수행한다. (if_id는 말고 ver만)
(예외) if_wg와 if_sc는 배치가 아닌 워킹그룹, 자회사 시스템에서 데이터를 push해주기 때문에 if_id 컬럼이 없다.</t>
  </si>
  <si>
    <t xml:space="preserve"> - P + YYYY + MM + Seq(2자리, +1씩 증가)
 - if 관련 모든 본Table에는 ver 컬럼 추가</t>
  </si>
  <si>
    <t>P20250501, P20250502 ... P20250513</t>
  </si>
  <si>
    <t>PL의 P</t>
    <phoneticPr fontId="1" type="noConversion"/>
  </si>
  <si>
    <t>tag</t>
    <phoneticPr fontId="1" type="noConversion"/>
  </si>
  <si>
    <t>확정여부 태그</t>
    <phoneticPr fontId="1" type="noConversion"/>
  </si>
  <si>
    <t xml:space="preserve"> - C : candiate
 - F : final</t>
  </si>
  <si>
    <t>tag 필드는 Insert시 default로 C (candidate)이고 BIX 최종 담당자 (경영기획, 시스템 운영자 등)가 해당 버전의 PL 숫자를 확인 후 '마감 확정' 버튼을 누르면 F(final)로 변경 된다. (따라서 Candiate 버전을 확인 후 컨펌하는 화면 필요) 
만약 배치가 실패하거나 F로 확정 받지 못한 버전은 C로 남아있게 됨.</t>
  </si>
  <si>
    <t>현재 년도 (단, 현재 월이 1월인 경우 현재 year -1로 들어간다) 2025년 12월 마감은 2026년 1월에 하기 때문</t>
  </si>
  <si>
    <t>month는 '현재 월 - 1'로 들어간다. (ex. 4월 마감의 경우 5월에 이루어짐으로)</t>
  </si>
  <si>
    <t>auto_yn</t>
    <phoneticPr fontId="1" type="noConversion"/>
  </si>
  <si>
    <t>자동 수동 여부</t>
    <phoneticPr fontId="1" type="noConversion"/>
  </si>
  <si>
    <t>자동배치면 True</t>
    <phoneticPr fontId="1" type="noConversion"/>
  </si>
  <si>
    <t xml:space="preserve"> @sap.cds.common &gt; managed 속성</t>
  </si>
  <si>
    <t>sfdc 버전</t>
    <phoneticPr fontId="1" type="noConversion"/>
  </si>
  <si>
    <t xml:space="preserve"> - 모든 if Table 은 if_id 컬럼을 key 로 가짐
 - if_wg, if_sc는 if_id 컬럼 제외</t>
    <phoneticPr fontId="1" type="noConversion"/>
  </si>
  <si>
    <t>배치 트리거 발생시(월마감버튼 클릭 등) version 테이블에 인터페이스 아이디(if_id)와 버전키(ver 필드)가 생성된다.
모든 인터페이스 테이블과 본테이블은 버전키(ver)를 갖고 인터페이스를 수행한다. (if_id는 말고 ver만)
(예외) if_wg와 if_sc는 배치가 아닌 워킹그룹, 자회사 시스템에서 데이터를 push해주기 때문에 if_id 컬럼이 없다.</t>
    <phoneticPr fontId="1" type="noConversion"/>
  </si>
  <si>
    <t>ver</t>
  </si>
  <si>
    <t>String</t>
    <phoneticPr fontId="1" type="noConversion"/>
  </si>
  <si>
    <t xml:space="preserve"> - D + YYYY + MM + Seq(2자리, +1씩 증가)
 - if 관련 모든 본Table에는 ver 컬럼 추가</t>
    <phoneticPr fontId="1" type="noConversion"/>
  </si>
  <si>
    <t>D20250501, D20250502 ... D20250513</t>
    <phoneticPr fontId="1" type="noConversion"/>
  </si>
  <si>
    <t>tag</t>
  </si>
  <si>
    <t>확정여부 태그</t>
  </si>
  <si>
    <t>배치가 성공하면 F(final)로 들어간다. (PL배치와 다르게 Deal배치는 '마감확정'하는 트리거 없음)</t>
    <phoneticPr fontId="1" type="noConversion"/>
  </si>
  <si>
    <t>현재 년</t>
    <phoneticPr fontId="1" type="noConversion"/>
  </si>
  <si>
    <t>현재 month</t>
  </si>
  <si>
    <t>week</t>
  </si>
  <si>
    <t>주</t>
  </si>
  <si>
    <t xml:space="preserve"> - SFDC weekly batch 주차 표시</t>
    <phoneticPr fontId="1" type="noConversion"/>
  </si>
  <si>
    <t>현재 day가 당월 몇 주차인지</t>
  </si>
  <si>
    <t>day</t>
    <phoneticPr fontId="1" type="noConversion"/>
  </si>
  <si>
    <t>일</t>
    <phoneticPr fontId="1" type="noConversion"/>
  </si>
  <si>
    <t>배치 대상 프로시저 관리 테이블</t>
  </si>
  <si>
    <t>procedure_no</t>
    <phoneticPr fontId="1" type="noConversion"/>
  </si>
  <si>
    <t>프로시저 번호</t>
    <phoneticPr fontId="1" type="noConversion"/>
  </si>
  <si>
    <t>프로시저 고유 번호</t>
    <phoneticPr fontId="1" type="noConversion"/>
  </si>
  <si>
    <t>procedure_name</t>
    <phoneticPr fontId="1" type="noConversion"/>
  </si>
  <si>
    <t>프로시저 이름</t>
    <phoneticPr fontId="1" type="noConversion"/>
  </si>
  <si>
    <t>P_IF_COMMON_GL_ACCOUNT_ERP_TRSF_TEST</t>
    <phoneticPr fontId="1" type="noConversion"/>
  </si>
  <si>
    <t>procedure_type</t>
    <phoneticPr fontId="1" type="noConversion"/>
  </si>
  <si>
    <t>프로시저 Type</t>
    <phoneticPr fontId="1" type="noConversion"/>
  </si>
  <si>
    <t>프로시저 Type(P:PL, D:SFDC(Deal))</t>
    <phoneticPr fontId="1" type="noConversion"/>
  </si>
  <si>
    <t>memo</t>
    <phoneticPr fontId="1" type="noConversion"/>
  </si>
  <si>
    <t>설명</t>
    <phoneticPr fontId="1" type="noConversion"/>
  </si>
  <si>
    <t>프로시저 설명</t>
    <phoneticPr fontId="1" type="noConversion"/>
  </si>
  <si>
    <t>use_yn</t>
    <phoneticPr fontId="1" type="noConversion"/>
  </si>
  <si>
    <t>사용유무</t>
    <phoneticPr fontId="1" type="noConversion"/>
  </si>
  <si>
    <t xml:space="preserve">배치로그 관리하는 테이블 </t>
  </si>
  <si>
    <t>인터페이스 버전</t>
  </si>
  <si>
    <t>common.batch_list</t>
    <phoneticPr fontId="1" type="noConversion"/>
  </si>
  <si>
    <t>success_yn</t>
  </si>
  <si>
    <t>성공 여부</t>
    <phoneticPr fontId="1" type="noConversion"/>
  </si>
  <si>
    <t>성공하면 True</t>
    <phoneticPr fontId="1" type="noConversion"/>
  </si>
  <si>
    <t>log</t>
    <phoneticPr fontId="1" type="noConversion"/>
  </si>
  <si>
    <t>로그</t>
    <phoneticPr fontId="1" type="noConversion"/>
  </si>
  <si>
    <t>로그가 update되는 필드</t>
    <phoneticPr fontId="1" type="noConversion"/>
  </si>
  <si>
    <t>메뉴 네비게이션용 테이블</t>
    <phoneticPr fontId="1" type="noConversion"/>
  </si>
  <si>
    <t>시스템 메뉴 테이블</t>
    <phoneticPr fontId="1" type="noConversion"/>
  </si>
  <si>
    <t>메뉴 아이디</t>
  </si>
  <si>
    <t>f015965d-5993-4a59-bb75-f10af1cce50b</t>
  </si>
  <si>
    <t>category</t>
  </si>
  <si>
    <t>카테고리</t>
  </si>
  <si>
    <t>category 와 code 를 조합하여 UI5 앱 접속정보 구성</t>
  </si>
  <si>
    <t>admin</t>
  </si>
  <si>
    <t>code</t>
  </si>
  <si>
    <t>메뉴 분류 코드</t>
  </si>
  <si>
    <t xml:space="preserve"> 로컬의 경우 root / app / &lt;category&gt; / &lt;code&gt;
&lt;code&gt; 폴더가 하나의 화면을 구현하는 UI5 앱 폴더</t>
  </si>
  <si>
    <t>i18nTitle</t>
    <phoneticPr fontId="1" type="noConversion"/>
  </si>
  <si>
    <t>메뉴명 다국어 key</t>
  </si>
  <si>
    <t>i18n</t>
    <phoneticPr fontId="1" type="noConversion"/>
  </si>
  <si>
    <t>화면에 디스플레이되는 메뉴명은 i18n 으로 관리</t>
  </si>
  <si>
    <t>menu_title1</t>
  </si>
  <si>
    <t>name</t>
  </si>
  <si>
    <t>메뉴명 (technical)</t>
  </si>
  <si>
    <t>테크니컬 네임</t>
  </si>
  <si>
    <t>메뉴관리화면</t>
  </si>
  <si>
    <t>상세</t>
  </si>
  <si>
    <t>메뉴 설명</t>
  </si>
  <si>
    <t>포탈 메뉴관리</t>
  </si>
  <si>
    <t>route</t>
  </si>
  <si>
    <t>3depth(상세화면) 경로</t>
  </si>
  <si>
    <t>상세화면일 경우 부가속성 (UI5 앱의 router &gt; route 정보)</t>
  </si>
  <si>
    <t>detail</t>
  </si>
  <si>
    <t>pattern</t>
  </si>
  <si>
    <t>3depth(상세화면) 파라미터</t>
  </si>
  <si>
    <t>상세화면의 파라미터 정보 (UI5 앱의 route parameter 명)</t>
  </si>
  <si>
    <t>메뉴 디스플레이 순서</t>
  </si>
  <si>
    <t>iconSrc</t>
    <phoneticPr fontId="1" type="noConversion"/>
  </si>
  <si>
    <t>아이콘 src</t>
    <phoneticPr fontId="1" type="noConversion"/>
  </si>
  <si>
    <t>sap-icon://account</t>
    <phoneticPr fontId="1" type="noConversion"/>
  </si>
  <si>
    <t>isApp</t>
    <phoneticPr fontId="1" type="noConversion"/>
  </si>
  <si>
    <t>String(enum)</t>
    <phoneticPr fontId="1" type="noConversion"/>
  </si>
  <si>
    <t>코드 아이디</t>
    <phoneticPr fontId="1" type="noConversion"/>
  </si>
  <si>
    <t>UUID</t>
    <phoneticPr fontId="1" type="noConversion"/>
  </si>
  <si>
    <t>e19f78ea-4798-496e-8e9b-2d746dad5305</t>
    <phoneticPr fontId="1" type="noConversion"/>
  </si>
  <si>
    <t>코드명</t>
    <phoneticPr fontId="1" type="noConversion"/>
  </si>
  <si>
    <t>코드 설명</t>
    <phoneticPr fontId="1" type="noConversion"/>
  </si>
  <si>
    <t>portal_yn</t>
  </si>
  <si>
    <t>포탈용 코드 구분</t>
  </si>
  <si>
    <t>비즈니스 데이터 용 코드(ex. 물가인상률) false / 포탈 관리용코드 true</t>
    <phoneticPr fontId="1" type="noConversion"/>
  </si>
  <si>
    <t>code_items</t>
    <phoneticPr fontId="1" type="noConversion"/>
  </si>
  <si>
    <t>코드 아이템 아이디</t>
    <phoneticPr fontId="1" type="noConversion"/>
  </si>
  <si>
    <t>5627faad-cb04-4a29-a898-aeca63a9a89e</t>
  </si>
  <si>
    <t>header</t>
    <phoneticPr fontId="1" type="noConversion"/>
  </si>
  <si>
    <t>코드 헤더 아이디</t>
    <phoneticPr fontId="1" type="noConversion"/>
  </si>
  <si>
    <t>common.code_header.id</t>
  </si>
  <si>
    <t>dbaae009-fd66-4b8c-a189-73bb02d9bdff</t>
  </si>
  <si>
    <t>코드 명</t>
    <phoneticPr fontId="1" type="noConversion"/>
  </si>
  <si>
    <t>value</t>
    <phoneticPr fontId="1" type="noConversion"/>
  </si>
  <si>
    <t>item key 값</t>
    <phoneticPr fontId="1" type="noConversion"/>
  </si>
  <si>
    <t>item의 key 값</t>
    <phoneticPr fontId="1" type="noConversion"/>
  </si>
  <si>
    <t>datatype</t>
    <phoneticPr fontId="1" type="noConversion"/>
  </si>
  <si>
    <t>value 타입</t>
    <phoneticPr fontId="1" type="noConversion"/>
  </si>
  <si>
    <t>key 값의 타입</t>
    <phoneticPr fontId="1" type="noConversion"/>
  </si>
  <si>
    <t>string / int / boolean</t>
    <phoneticPr fontId="1" type="noConversion"/>
  </si>
  <si>
    <t>정렬순서</t>
    <phoneticPr fontId="1" type="noConversion"/>
  </si>
  <si>
    <t>Integer</t>
    <phoneticPr fontId="1" type="noConversion"/>
  </si>
  <si>
    <t>아이템의 정렬 순서</t>
    <phoneticPr fontId="1" type="noConversion"/>
  </si>
  <si>
    <t>value_opt1</t>
    <phoneticPr fontId="1" type="noConversion"/>
  </si>
  <si>
    <t>연관 아이템 값 1</t>
    <phoneticPr fontId="1" type="noConversion"/>
  </si>
  <si>
    <t>매핑이 필요한 다른 아이템 코드의 value값</t>
    <phoneticPr fontId="1" type="noConversion"/>
  </si>
  <si>
    <t>value_opt2</t>
    <phoneticPr fontId="1" type="noConversion"/>
  </si>
  <si>
    <t>연관 아이템 값 2</t>
    <phoneticPr fontId="1" type="noConversion"/>
  </si>
  <si>
    <t>설명</t>
  </si>
  <si>
    <t>코드아이템 기타 메모 사항</t>
    <phoneticPr fontId="1" type="noConversion"/>
  </si>
  <si>
    <t>100041 (프로미스가 갖고있는 프로젝트 타입 코드)</t>
    <phoneticPr fontId="1" type="noConversion"/>
  </si>
  <si>
    <t>header_opt1</t>
    <phoneticPr fontId="1" type="noConversion"/>
  </si>
  <si>
    <t>연관 아이템 헤더 1</t>
    <phoneticPr fontId="1" type="noConversion"/>
  </si>
  <si>
    <t>아이템 코드와 매핑이 필요한 다른 아이템 코드의 헤더</t>
    <phoneticPr fontId="1" type="noConversion"/>
  </si>
  <si>
    <t>84821712-90c8-44b1-aec7-a7bf2b7e9b64</t>
  </si>
  <si>
    <t>header_opt2</t>
    <phoneticPr fontId="1" type="noConversion"/>
  </si>
  <si>
    <t>연관 아이템 헤더 2</t>
    <phoneticPr fontId="1" type="noConversion"/>
  </si>
  <si>
    <t>482503e1-9c44-4d13-a7d8-98555cd5d0c0</t>
  </si>
  <si>
    <t>Code Item 테이블의 "SI-인력공급" 데이터를 예시로 value_opt1 value_opt2, header_opt1, header_opt2 컬럼 설명</t>
    <phoneticPr fontId="1" type="noConversion"/>
  </si>
  <si>
    <t>1. project Type이라는 Code_header가 있고 SI-인력공급은 project type 중 하나이다. (header와 tail 구조)</t>
    <phoneticPr fontId="1" type="noConversion"/>
  </si>
  <si>
    <t>2. BD1, BD2라는 Code header가 있고 각 헤더에는 Non-Recurring, SI-개발 이라는 아이템이 있다.</t>
    <phoneticPr fontId="1" type="noConversion"/>
  </si>
  <si>
    <t>3. SI-인력공급은 Non-Recurring과 SI-개발과 매핑 되어야한다.</t>
    <phoneticPr fontId="1" type="noConversion"/>
  </si>
  <si>
    <t>4. 이를 위해 header_opt1에는 BD1의 헤더 id를 넣고 Non-Recurring은 BD1의 value가 2이기 때문에 value_opt1에 2가 들어간다.</t>
    <phoneticPr fontId="1" type="noConversion"/>
  </si>
  <si>
    <t>5. header_opt2는 BD2의 헤더 id를 넣고 SI-개발은 BD2에서 value가 3이기 때문에 value_opt2에 3이 들어간다.</t>
    <phoneticPr fontId="1" type="noConversion"/>
  </si>
  <si>
    <t>ERP 시스템 내 GL계정 정보를 받는 I/F 테이블</t>
    <phoneticPr fontId="1" type="noConversion"/>
  </si>
  <si>
    <t>if_gl_account</t>
    <phoneticPr fontId="1" type="noConversion"/>
  </si>
  <si>
    <t>GL 계정 테이블 I/F 테이블</t>
    <phoneticPr fontId="1" type="noConversion"/>
  </si>
  <si>
    <t xml:space="preserve">초기값은 빈칸(null), 적재 성공시 S, 에러시 E로 Update </t>
  </si>
  <si>
    <t>705502 (조직관리비)</t>
  </si>
  <si>
    <t>GL계정 설명</t>
  </si>
  <si>
    <t>ERP 시스템 내 중계정 정보를 받는 I/F 테이블</t>
    <phoneticPr fontId="1" type="noConversion"/>
  </si>
  <si>
    <t>if_commitment_item</t>
    <phoneticPr fontId="1" type="noConversion"/>
  </si>
  <si>
    <t>FinancialManagementArea</t>
    <phoneticPr fontId="1" type="noConversion"/>
  </si>
  <si>
    <t>SKCC</t>
    <phoneticPr fontId="1" type="noConversion"/>
  </si>
  <si>
    <t>budget_control_yn</t>
  </si>
  <si>
    <t>ERP 시스템 내 GL계정 정보를 받는 테이블</t>
    <phoneticPr fontId="1" type="noConversion"/>
  </si>
  <si>
    <t>GL 계정 테이블</t>
    <phoneticPr fontId="1" type="noConversion"/>
  </si>
  <si>
    <t>4/30 추가</t>
    <phoneticPr fontId="1" type="noConversion"/>
  </si>
  <si>
    <t>GL계정 이름</t>
    <phoneticPr fontId="1" type="noConversion"/>
  </si>
  <si>
    <t>ERP 시스템 내 중계정 정보를 받는 테이블</t>
    <phoneticPr fontId="1" type="noConversion"/>
  </si>
  <si>
    <t>중계정 정보</t>
  </si>
  <si>
    <t>통제 true/ 비통제 false</t>
    <phoneticPr fontId="1" type="noConversion"/>
  </si>
  <si>
    <t>HR 시스템 내 조직 정보 I/F 받는 테이블</t>
    <phoneticPr fontId="1" type="noConversion"/>
  </si>
  <si>
    <t>if_org</t>
    <phoneticPr fontId="1" type="noConversion"/>
  </si>
  <si>
    <t>조직 이름</t>
  </si>
  <si>
    <t>parent</t>
  </si>
  <si>
    <t>상위조직 ID</t>
  </si>
  <si>
    <t>rank</t>
  </si>
  <si>
    <t>소팅 순서</t>
    <phoneticPr fontId="1" type="noConversion"/>
  </si>
  <si>
    <t>010-050-060</t>
  </si>
  <si>
    <t>s_date</t>
  </si>
  <si>
    <t>e_date</t>
  </si>
  <si>
    <t>org_type</t>
  </si>
  <si>
    <t>조직 유형</t>
  </si>
  <si>
    <t>(5,2)</t>
  </si>
  <si>
    <t>5.0</t>
  </si>
  <si>
    <t>사용 여부</t>
    <phoneticPr fontId="1" type="noConversion"/>
  </si>
  <si>
    <t>Y / N</t>
  </si>
  <si>
    <t>cost_center</t>
  </si>
  <si>
    <t>org_gubun</t>
  </si>
  <si>
    <t>조직 타입</t>
  </si>
  <si>
    <t>1796</t>
  </si>
  <si>
    <t>eai_pcs_dttm</t>
  </si>
  <si>
    <t>20250328102033</t>
  </si>
  <si>
    <t>eai_data_seq</t>
  </si>
  <si>
    <t>eai_crud_cd</t>
  </si>
  <si>
    <t>I</t>
  </si>
  <si>
    <t>생성시간</t>
  </si>
  <si>
    <t>create_user_id</t>
  </si>
  <si>
    <t>change_time</t>
  </si>
  <si>
    <t>변경시간</t>
  </si>
  <si>
    <t>change_user_id</t>
  </si>
  <si>
    <t>변경자</t>
  </si>
  <si>
    <t>INDEX</t>
    <phoneticPr fontId="1" type="noConversion"/>
  </si>
  <si>
    <t>조직 공통 테이블</t>
    <phoneticPr fontId="1" type="noConversion"/>
  </si>
  <si>
    <t>order</t>
  </si>
  <si>
    <t>화면에서 동일 레벨의 조직을 순서대로 보여줄 때 사용</t>
  </si>
  <si>
    <t>010-050-060</t>
    <phoneticPr fontId="1" type="noConversion"/>
  </si>
  <si>
    <t>ERP Cost Center</t>
  </si>
  <si>
    <t>부문/본부/팀 등 구분 (1414 팀, 1796 부문, 4043 사업부, 4044 C&amp;C, 6907 담당/그룹)</t>
  </si>
  <si>
    <t>if_org_map</t>
    <phoneticPr fontId="1" type="noConversion"/>
  </si>
  <si>
    <t>emp_no</t>
    <phoneticPr fontId="1" type="noConversion"/>
  </si>
  <si>
    <t>사번</t>
    <phoneticPr fontId="1" type="noConversion"/>
  </si>
  <si>
    <t>sdate</t>
    <phoneticPr fontId="1" type="noConversion"/>
  </si>
  <si>
    <t>발령 날짜</t>
    <phoneticPr fontId="1" type="noConversion"/>
  </si>
  <si>
    <t>edate</t>
    <phoneticPr fontId="1" type="noConversion"/>
  </si>
  <si>
    <t>전출 일자</t>
    <phoneticPr fontId="1" type="noConversion"/>
  </si>
  <si>
    <t>primary_status</t>
    <phoneticPr fontId="1" type="noConversion"/>
  </si>
  <si>
    <t>원소속조직 여부</t>
    <phoneticPr fontId="1" type="noConversion"/>
  </si>
  <si>
    <t>파견 시 여러 조직이 뜨나 친정 조직만 Y</t>
    <phoneticPr fontId="1" type="noConversion"/>
  </si>
  <si>
    <t>Y</t>
  </si>
  <si>
    <t>jikcheak_id</t>
  </si>
  <si>
    <t>직책 ID</t>
    <phoneticPr fontId="1" type="noConversion"/>
  </si>
  <si>
    <t>jikmu_id</t>
    <phoneticPr fontId="1" type="noConversion"/>
  </si>
  <si>
    <t>직무 ID</t>
    <phoneticPr fontId="1" type="noConversion"/>
  </si>
  <si>
    <t>formal_status</t>
    <phoneticPr fontId="1" type="noConversion"/>
  </si>
  <si>
    <t>정규직 여부</t>
    <phoneticPr fontId="1" type="noConversion"/>
  </si>
  <si>
    <t>N</t>
  </si>
  <si>
    <t>order_type</t>
    <phoneticPr fontId="1" type="noConversion"/>
  </si>
  <si>
    <t>근무형태(파견, 겸직, full)</t>
  </si>
  <si>
    <t>null/ 파견(PART TIME) / 겸직</t>
    <phoneticPr fontId="1" type="noConversion"/>
  </si>
  <si>
    <t>생성일자</t>
  </si>
  <si>
    <t>Timestamp</t>
    <phoneticPr fontId="1" type="noConversion"/>
  </si>
  <si>
    <t>closed_date</t>
    <phoneticPr fontId="1" type="noConversion"/>
  </si>
  <si>
    <t>종료 일자</t>
  </si>
  <si>
    <t>craete_time</t>
    <phoneticPr fontId="1" type="noConversion"/>
  </si>
  <si>
    <t>생성 시간</t>
    <phoneticPr fontId="1" type="noConversion"/>
  </si>
  <si>
    <t>create_user_id</t>
    <phoneticPr fontId="1" type="noConversion"/>
  </si>
  <si>
    <t>change_time</t>
    <phoneticPr fontId="1" type="noConversion"/>
  </si>
  <si>
    <t>변경 시간</t>
    <phoneticPr fontId="1" type="noConversion"/>
  </si>
  <si>
    <t>change_user_id</t>
    <phoneticPr fontId="1" type="noConversion"/>
  </si>
  <si>
    <t>변경자</t>
    <phoneticPr fontId="1" type="noConversion"/>
  </si>
  <si>
    <t>사원-조직 매핑 테이블</t>
  </si>
  <si>
    <t>str_date</t>
  </si>
  <si>
    <t>발령 날짜</t>
  </si>
  <si>
    <t>전출 일자</t>
  </si>
  <si>
    <t>파견 시 여러 조직이 뜨나 친정 조직만 Y</t>
  </si>
  <si>
    <t>order_type</t>
  </si>
  <si>
    <t>null/ 파견(PART TIME) / 겸직</t>
  </si>
  <si>
    <t>create_datetime</t>
    <phoneticPr fontId="1" type="noConversion"/>
  </si>
  <si>
    <t>생성시간</t>
    <phoneticPr fontId="1" type="noConversion"/>
  </si>
  <si>
    <t>closed_dt</t>
  </si>
  <si>
    <t>closed_date</t>
  </si>
  <si>
    <t>Account 코드</t>
    <phoneticPr fontId="1" type="noConversion"/>
  </si>
  <si>
    <t>String</t>
    <phoneticPr fontId="5" type="noConversion"/>
  </si>
  <si>
    <t>Account 이름</t>
    <phoneticPr fontId="1" type="noConversion"/>
  </si>
  <si>
    <t>SKT / SK Ino / SKHy</t>
    <phoneticPr fontId="5" type="noConversion"/>
  </si>
  <si>
    <t>sort_order</t>
    <phoneticPr fontId="1" type="noConversion"/>
  </si>
  <si>
    <t>정렬 순서</t>
    <phoneticPr fontId="1" type="noConversion"/>
  </si>
  <si>
    <t>ERP 시스템 내 고객사 정보 I/F 받는 테이블</t>
    <phoneticPr fontId="1" type="noConversion"/>
  </si>
  <si>
    <t>고객 코드</t>
    <phoneticPr fontId="1" type="noConversion"/>
  </si>
  <si>
    <t>고객사 명</t>
    <phoneticPr fontId="1" type="noConversion"/>
  </si>
  <si>
    <t>rpstr_name</t>
  </si>
  <si>
    <t>고객사 대표자 명</t>
  </si>
  <si>
    <t>country</t>
    <phoneticPr fontId="1" type="noConversion"/>
  </si>
  <si>
    <t>국가코드</t>
    <phoneticPr fontId="1" type="noConversion"/>
  </si>
  <si>
    <t>kr,cn,us</t>
    <phoneticPr fontId="1" type="noConversion"/>
  </si>
  <si>
    <t>biz_type</t>
  </si>
  <si>
    <t>업종 구분 RCID</t>
    <phoneticPr fontId="1" type="noConversion"/>
  </si>
  <si>
    <t>관계사 여부</t>
  </si>
  <si>
    <t>사용 여부</t>
  </si>
  <si>
    <t>공통된 고객사 정보를 관리하는 테이블</t>
    <phoneticPr fontId="1" type="noConversion"/>
  </si>
  <si>
    <t>erp_pbl_div_rcid</t>
    <phoneticPr fontId="1" type="noConversion"/>
  </si>
  <si>
    <t>ERP 공공 구분 RCID</t>
    <phoneticPr fontId="1" type="noConversion"/>
  </si>
  <si>
    <t>account_cd</t>
    <phoneticPr fontId="1" type="noConversion"/>
  </si>
  <si>
    <t>common.account.code</t>
    <phoneticPr fontId="1" type="noConversion"/>
  </si>
  <si>
    <t xml:space="preserve"> - 원칙은 Account별 고객사 관리 화면을 통해서 Update
 - 최초 데이터 세팅은 mapping temp table을 통해서 실행
UPDATE COMMON_CUSTOMER a
   SET a.ACCOUNT_CD = (SELECT z.ACCOUNT_ID                        FROM COMMON_TEMP_ACCOUNT_CUSTOMER_MAP z
                      WHERE z.ERP_CUST_CO_CD = a.CODE);</t>
  </si>
  <si>
    <t>PROMIS 시스템 내 프로젝트 정보 I/F 받는 테이블 (platform 실적 --&gt; project master 생성)</t>
    <phoneticPr fontId="1" type="noConversion"/>
  </si>
  <si>
    <t>프로젝트 번호</t>
  </si>
  <si>
    <t>SEQ</t>
    <phoneticPr fontId="1" type="noConversion"/>
  </si>
  <si>
    <t>platform 구분 번호</t>
  </si>
  <si>
    <t>Platform 프로젝트 마스터 중복을 막기 위함</t>
    <phoneticPr fontId="1" type="noConversion"/>
  </si>
  <si>
    <t>sale_ccorg_cd</t>
    <phoneticPr fontId="1" type="noConversion"/>
  </si>
  <si>
    <t>매출 조직 코드</t>
  </si>
  <si>
    <t>영업기회/계약번호</t>
  </si>
  <si>
    <t>프로젝트 명</t>
  </si>
  <si>
    <t>cstco_cd</t>
  </si>
  <si>
    <t>고객사 코드</t>
    <phoneticPr fontId="1" type="noConversion"/>
  </si>
  <si>
    <t>cnrc_dt</t>
  </si>
  <si>
    <t>수주 계약 일자</t>
    <phoneticPr fontId="1" type="noConversion"/>
  </si>
  <si>
    <t>사업수행 시작일자</t>
    <phoneticPr fontId="1" type="noConversion"/>
  </si>
  <si>
    <t>prj_prfm_end_dt</t>
    <phoneticPr fontId="1" type="noConversion"/>
  </si>
  <si>
    <t>사업수행 종료일자</t>
    <phoneticPr fontId="1" type="noConversion"/>
  </si>
  <si>
    <t>해외 사업 여부</t>
  </si>
  <si>
    <t>prj_tp_cd</t>
    <phoneticPr fontId="1" type="noConversion"/>
  </si>
  <si>
    <t>프로젝트 유형 코드</t>
    <phoneticPr fontId="1" type="noConversion"/>
  </si>
  <si>
    <t>dt_tp</t>
    <phoneticPr fontId="1" type="noConversion"/>
  </si>
  <si>
    <t>DT Type</t>
  </si>
  <si>
    <t>플랫폼 실적 받아올때 산입하는 로직</t>
    <phoneticPr fontId="1" type="noConversion"/>
  </si>
  <si>
    <t>tech_nm</t>
    <phoneticPr fontId="1" type="noConversion"/>
  </si>
  <si>
    <t>적용기술(명)</t>
    <phoneticPr fontId="1" type="noConversion"/>
  </si>
  <si>
    <t>brand_nm</t>
    <phoneticPr fontId="1" type="noConversion"/>
  </si>
  <si>
    <t>브랜드(명)</t>
    <phoneticPr fontId="1" type="noConversion"/>
  </si>
  <si>
    <t>quote_issue_no</t>
    <phoneticPr fontId="1" type="noConversion"/>
  </si>
  <si>
    <t>견적발행번호</t>
    <phoneticPr fontId="1" type="noConversion"/>
  </si>
  <si>
    <t>quote_target_no</t>
    <phoneticPr fontId="1" type="noConversion"/>
  </si>
  <si>
    <t>견적대상번호</t>
    <phoneticPr fontId="1" type="noConversion"/>
  </si>
  <si>
    <t>eai_pcs_dttm</t>
    <phoneticPr fontId="1" type="noConversion"/>
  </si>
  <si>
    <t>EAI I/F 처리시간</t>
    <phoneticPr fontId="1" type="noConversion"/>
  </si>
  <si>
    <t>DateTime</t>
    <phoneticPr fontId="1" type="noConversion"/>
  </si>
  <si>
    <t>eai_data_seq</t>
    <phoneticPr fontId="1" type="noConversion"/>
  </si>
  <si>
    <t>EAI 시퀀스</t>
    <phoneticPr fontId="1" type="noConversion"/>
  </si>
  <si>
    <t>eai_crud_cd</t>
    <phoneticPr fontId="1" type="noConversion"/>
  </si>
  <si>
    <t>EAI 처리 코드</t>
    <phoneticPr fontId="1" type="noConversion"/>
  </si>
  <si>
    <t>PROMIS 시스템 내 프로젝트 정보 I/F 받는 테이블</t>
    <phoneticPr fontId="1" type="noConversion"/>
  </si>
  <si>
    <t>S(success) / E(error)</t>
    <phoneticPr fontId="1" type="noConversion"/>
  </si>
  <si>
    <t>rodr_ccorg_cd</t>
    <phoneticPr fontId="1" type="noConversion"/>
  </si>
  <si>
    <t xml:space="preserve">수주 조직 코드(cc_code) </t>
  </si>
  <si>
    <t>매출 조직 코드(cc_code)</t>
  </si>
  <si>
    <t>DT TYPE</t>
  </si>
  <si>
    <t>공통된 프로젝트 정보를 관리하는 테이블</t>
    <phoneticPr fontId="1" type="noConversion"/>
  </si>
  <si>
    <t>PROMIS-&gt;BIX</t>
    <phoneticPr fontId="1" type="noConversion"/>
  </si>
  <si>
    <t>Length</t>
    <phoneticPr fontId="1" type="noConversion"/>
  </si>
  <si>
    <t>수주 I/F 가능 필드 여부</t>
    <phoneticPr fontId="1" type="noConversion"/>
  </si>
  <si>
    <t>O</t>
    <phoneticPr fontId="5" type="noConversion"/>
  </si>
  <si>
    <t>Promis</t>
    <phoneticPr fontId="1" type="noConversion"/>
  </si>
  <si>
    <t>cstco_cd</t>
    <phoneticPr fontId="1" type="noConversion"/>
  </si>
  <si>
    <t>고객사 코드</t>
  </si>
  <si>
    <t>제거?</t>
    <phoneticPr fontId="1" type="noConversion"/>
  </si>
  <si>
    <t xml:space="preserve">수주 조직 코드 </t>
  </si>
  <si>
    <t>T</t>
    <phoneticPr fontId="1" type="noConversion"/>
  </si>
  <si>
    <t>prj_prfm_str_dt</t>
    <phoneticPr fontId="1" type="noConversion"/>
  </si>
  <si>
    <t>사업기회 시작일/종료일인지  혹은 프로젝트 시작일/종료일인지 Data 확인</t>
    <phoneticPr fontId="1" type="noConversion"/>
  </si>
  <si>
    <t>crov_div_yn</t>
    <phoneticPr fontId="1" type="noConversion"/>
  </si>
  <si>
    <t>이월 여부</t>
    <phoneticPr fontId="1" type="noConversion"/>
  </si>
  <si>
    <t>Conversion
: 현재일자의 년도가 시작일자의 년도보다 크면 Y</t>
  </si>
  <si>
    <t>ovse_biz_yn</t>
    <phoneticPr fontId="1" type="noConversion"/>
  </si>
  <si>
    <t>해외 사업 여부</t>
    <phoneticPr fontId="1" type="noConversion"/>
  </si>
  <si>
    <t>Promis</t>
  </si>
  <si>
    <t>relsco_yn</t>
    <phoneticPr fontId="1" type="noConversion"/>
  </si>
  <si>
    <t>cnvg_biz_yn</t>
    <phoneticPr fontId="1" type="noConversion"/>
  </si>
  <si>
    <t>융복합 사업 여부</t>
  </si>
  <si>
    <t xml:space="preserve">platform Data insert 시 D prj_no로 해당 project 
찾아서 cnvg_biz_yn = true update </t>
  </si>
  <si>
    <t>si_os_div_cd</t>
    <phoneticPr fontId="1" type="noConversion"/>
  </si>
  <si>
    <t>SI OS 구분 코드</t>
    <phoneticPr fontId="1" type="noConversion"/>
  </si>
  <si>
    <t>Conversion(sp 반영 예정)
: erp 통해서 update(erp에 기준 컬럼 있음)</t>
  </si>
  <si>
    <t>bd_n1_cd</t>
    <phoneticPr fontId="1" type="noConversion"/>
  </si>
  <si>
    <t>비즈니스도메인 1</t>
    <phoneticPr fontId="1" type="noConversion"/>
  </si>
  <si>
    <t>reserved</t>
    <phoneticPr fontId="1" type="noConversion"/>
  </si>
  <si>
    <t>수정가능</t>
    <phoneticPr fontId="1" type="noConversion"/>
  </si>
  <si>
    <t>bd_n2_cd</t>
  </si>
  <si>
    <t>비즈니스도메인 2</t>
  </si>
  <si>
    <t>bd_n3_cd</t>
  </si>
  <si>
    <t>비즈니스도메인 3</t>
  </si>
  <si>
    <t>bd_n4_cd</t>
  </si>
  <si>
    <t>비즈니스도메인 4</t>
  </si>
  <si>
    <t>bd_n5_cd</t>
  </si>
  <si>
    <t>비즈니스도메인 5</t>
  </si>
  <si>
    <t>bd_n6_cd</t>
  </si>
  <si>
    <t>비즈니스도메인 6</t>
  </si>
  <si>
    <t>4/24 추가</t>
    <phoneticPr fontId="1" type="noConversion"/>
  </si>
  <si>
    <t>DT TYPE</t>
    <phoneticPr fontId="1" type="noConversion"/>
  </si>
  <si>
    <t>플랫폼 견적 발행번호 ( 융복합 사업)</t>
    <phoneticPr fontId="1" type="noConversion"/>
  </si>
  <si>
    <t>융복합 사업인 경우 main 수주 프로젝트 번호가 있음</t>
    <phoneticPr fontId="1" type="noConversion"/>
  </si>
  <si>
    <t>itsm_div_yn</t>
    <phoneticPr fontId="1" type="noConversion"/>
  </si>
  <si>
    <t>ITSM 여부</t>
    <phoneticPr fontId="1" type="noConversion"/>
  </si>
  <si>
    <t>Conversion
: proj_no가 2011로 시작되면 Y</t>
  </si>
  <si>
    <t>biz_opp_nm</t>
    <phoneticPr fontId="1" type="noConversion"/>
  </si>
  <si>
    <t>사업기회명</t>
  </si>
  <si>
    <t>25년_NH농협은행 데이터 거래소 플랫폼 구축</t>
  </si>
  <si>
    <t>deal_stage_cd</t>
  </si>
  <si>
    <t>Deal Stage 코드</t>
    <phoneticPr fontId="1" type="noConversion"/>
  </si>
  <si>
    <t>deal_stage_nm</t>
    <phoneticPr fontId="1" type="noConversion"/>
  </si>
  <si>
    <t>Deal Stage 명</t>
    <phoneticPr fontId="1" type="noConversion"/>
  </si>
  <si>
    <t>margin_rate</t>
    <phoneticPr fontId="1" type="noConversion"/>
  </si>
  <si>
    <t>목표수익율(마진율)</t>
  </si>
  <si>
    <t>dgtr_task_cd</t>
  </si>
  <si>
    <t>DT 과제 코드</t>
    <phoneticPr fontId="1" type="noConversion"/>
  </si>
  <si>
    <t>dgtr_task_nm</t>
  </si>
  <si>
    <t>DT 과제 명</t>
    <phoneticPr fontId="1" type="noConversion"/>
  </si>
  <si>
    <t xml:space="preserve">Twin Factory, AICC, Digital Workforce... </t>
    <phoneticPr fontId="1" type="noConversion"/>
  </si>
  <si>
    <t>DT과제 마스터 테이블</t>
    <phoneticPr fontId="1" type="noConversion"/>
  </si>
  <si>
    <t>DT과제 마스터 테이블</t>
  </si>
  <si>
    <t>dt_task_cd</t>
    <phoneticPr fontId="1" type="noConversion"/>
  </si>
  <si>
    <t>DT과제 코드</t>
    <phoneticPr fontId="1" type="noConversion"/>
  </si>
  <si>
    <t>AI_ESGMGMT</t>
  </si>
  <si>
    <t>dt_task_nm</t>
    <phoneticPr fontId="1" type="noConversion"/>
  </si>
  <si>
    <t>DT과제명</t>
    <phoneticPr fontId="1" type="noConversion"/>
  </si>
  <si>
    <t>AI 기반 ESG 통합관리</t>
  </si>
  <si>
    <t>DT과제 I/F 테이블</t>
  </si>
  <si>
    <t>DT과제명</t>
  </si>
  <si>
    <t>SFDC 고객 Account I/F</t>
  </si>
  <si>
    <t>biz_tp_account_cd</t>
    <phoneticPr fontId="1" type="noConversion"/>
  </si>
  <si>
    <t>Account 구분 코드</t>
  </si>
  <si>
    <t>biz_tp_account_nm</t>
    <phoneticPr fontId="1" type="noConversion"/>
  </si>
  <si>
    <t>Account 구분명</t>
  </si>
  <si>
    <t>고객 Account 마스터 테이블</t>
    <phoneticPr fontId="1" type="noConversion"/>
  </si>
  <si>
    <t>IN_TEL</t>
    <phoneticPr fontId="1" type="noConversion"/>
  </si>
  <si>
    <t>01. SKT</t>
  </si>
  <si>
    <t>Delivery 조직 관련 정보 저장 테이블</t>
    <phoneticPr fontId="1" type="noConversion"/>
  </si>
  <si>
    <t>delivery_org</t>
    <phoneticPr fontId="1" type="noConversion"/>
  </si>
  <si>
    <t>Delivery 조직 정보 저장 테이블</t>
  </si>
  <si>
    <t>common.org.id</t>
    <phoneticPr fontId="1" type="noConversion"/>
  </si>
  <si>
    <t>common.org.ccorg_cd</t>
    <phoneticPr fontId="1" type="noConversion"/>
  </si>
  <si>
    <t>is_delivery</t>
    <phoneticPr fontId="1" type="noConversion"/>
  </si>
  <si>
    <t>D/ND 여부</t>
    <phoneticPr fontId="1" type="noConversion"/>
  </si>
  <si>
    <t>조직 유형 관리 Table</t>
    <phoneticPr fontId="1" type="noConversion"/>
  </si>
  <si>
    <t>조직 유형 관리</t>
    <phoneticPr fontId="1" type="noConversion"/>
  </si>
  <si>
    <t>org_tp</t>
  </si>
  <si>
    <t>조직 유형</t>
    <phoneticPr fontId="1" type="noConversion"/>
  </si>
  <si>
    <t>ACCOUNT / DELIVERY / HYBRID / STAFF</t>
    <phoneticPr fontId="1" type="noConversion"/>
  </si>
  <si>
    <t>고객 Account별 목표 관리 테이블</t>
    <phoneticPr fontId="1" type="noConversion"/>
  </si>
  <si>
    <t>target_account</t>
    <phoneticPr fontId="1" type="noConversion"/>
  </si>
  <si>
    <t>고객 Account 목표 테이블</t>
    <phoneticPr fontId="1" type="noConversion"/>
  </si>
  <si>
    <t>대상 년도</t>
    <phoneticPr fontId="1" type="noConversion"/>
  </si>
  <si>
    <t>common.account.code</t>
  </si>
  <si>
    <t>target_cd</t>
    <phoneticPr fontId="1" type="noConversion"/>
  </si>
  <si>
    <t>목표 코드</t>
    <phoneticPr fontId="1" type="noConversion"/>
  </si>
  <si>
    <t>target_val</t>
    <phoneticPr fontId="1" type="noConversion"/>
  </si>
  <si>
    <t>목표값</t>
    <phoneticPr fontId="1" type="noConversion"/>
  </si>
  <si>
    <t>Decimal</t>
    <phoneticPr fontId="1" type="noConversion"/>
  </si>
  <si>
    <t>(18,0)</t>
    <phoneticPr fontId="1" type="noConversion"/>
  </si>
  <si>
    <t>조직별 목표 관리 테이블</t>
    <phoneticPr fontId="1" type="noConversion"/>
  </si>
  <si>
    <t>common.org.ccorg_cd</t>
  </si>
  <si>
    <t>is_total_calc</t>
    <phoneticPr fontId="1" type="noConversion"/>
  </si>
  <si>
    <t>전사기준 집계여부</t>
    <phoneticPr fontId="1" type="noConversion"/>
  </si>
  <si>
    <t>TRUE면 전사기준 집계 대상 (default: true)</t>
    <phoneticPr fontId="1" type="noConversion"/>
  </si>
  <si>
    <t>ERP 시스템 내 장판지 정보 I/F 받는 테이블</t>
    <phoneticPr fontId="1" type="noConversion"/>
  </si>
  <si>
    <t>if_wideview</t>
    <phoneticPr fontId="1" type="noConversion"/>
  </si>
  <si>
    <t>Field</t>
    <phoneticPr fontId="1" type="noConversion"/>
  </si>
  <si>
    <t>마감월</t>
  </si>
  <si>
    <t>prj_no</t>
    <phoneticPr fontId="1" type="noConversion"/>
  </si>
  <si>
    <t>biz_opp_desc</t>
    <phoneticPr fontId="1" type="noConversion"/>
  </si>
  <si>
    <t>사업기회 Desc</t>
  </si>
  <si>
    <t>프로젝트 Desc.</t>
  </si>
  <si>
    <t>project_desc</t>
    <phoneticPr fontId="1" type="noConversion"/>
  </si>
  <si>
    <t>프로젝트 유형 명</t>
  </si>
  <si>
    <t>매출조직 코드</t>
  </si>
  <si>
    <t>sale_ccorg_nm</t>
    <phoneticPr fontId="1" type="noConversion"/>
  </si>
  <si>
    <t>매출조직 명</t>
    <phoneticPr fontId="1" type="noConversion"/>
  </si>
  <si>
    <t>cstco_nm</t>
    <phoneticPr fontId="1" type="noConversion"/>
  </si>
  <si>
    <t>1월 진행매출</t>
    <phoneticPr fontId="1" type="noConversion"/>
  </si>
  <si>
    <t>2월 진행매출</t>
  </si>
  <si>
    <t>3월 진행매출</t>
  </si>
  <si>
    <t>4월 진행매출</t>
  </si>
  <si>
    <t>5월 진행매출</t>
  </si>
  <si>
    <t>6월 진행매출</t>
  </si>
  <si>
    <t>7월 진행매출</t>
  </si>
  <si>
    <t>8월 진행매출</t>
  </si>
  <si>
    <t>9월 진행매출</t>
  </si>
  <si>
    <t>10월 진행매출</t>
  </si>
  <si>
    <t>11월 진행매출</t>
  </si>
  <si>
    <t>12월 진행매출</t>
  </si>
  <si>
    <t>1월 매출 FX</t>
  </si>
  <si>
    <t>2월 매출 FX</t>
  </si>
  <si>
    <t>3월 매출 FX</t>
  </si>
  <si>
    <t>4월 매출 FX</t>
  </si>
  <si>
    <t>5월 매출 FX</t>
  </si>
  <si>
    <t>6월 매출 FX</t>
  </si>
  <si>
    <t>7월 매출 FX</t>
  </si>
  <si>
    <t>8월 매출 FX</t>
  </si>
  <si>
    <t>9월 매출 FX</t>
  </si>
  <si>
    <t>10월 매출 FX</t>
  </si>
  <si>
    <t>11월 매출 FX</t>
  </si>
  <si>
    <t>12월 매출 FX</t>
  </si>
  <si>
    <t>WG I/F 테이블</t>
  </si>
  <si>
    <t>생성 일시</t>
  </si>
  <si>
    <t>처리결과 (null/ S / E)</t>
    <phoneticPr fontId="1" type="noConversion"/>
  </si>
  <si>
    <t>수주조직 코드</t>
    <phoneticPr fontId="1" type="noConversion"/>
  </si>
  <si>
    <t>매출 조직(본부) 코드(cc_code)</t>
  </si>
  <si>
    <t>수주조직이 어디에 있음?</t>
    <phoneticPr fontId="1" type="noConversion"/>
  </si>
  <si>
    <t>`</t>
    <phoneticPr fontId="1" type="noConversion"/>
  </si>
  <si>
    <t>매출 1월 금액</t>
    <phoneticPr fontId="1" type="noConversion"/>
  </si>
  <si>
    <t>매출 2월 금액</t>
  </si>
  <si>
    <t>매출 3월 금액</t>
  </si>
  <si>
    <t>매출 4월 금액</t>
  </si>
  <si>
    <t>매출 5월 금액</t>
  </si>
  <si>
    <t>매출 6월 금액</t>
  </si>
  <si>
    <t>매출 7월 금액</t>
  </si>
  <si>
    <t>매출 8월 금액</t>
  </si>
  <si>
    <t>매출 10월 금액</t>
  </si>
  <si>
    <t>매출 11월 금액</t>
  </si>
  <si>
    <t>매출 12월 금액</t>
  </si>
  <si>
    <t>수행 1월 금액</t>
    <phoneticPr fontId="1" type="noConversion"/>
  </si>
  <si>
    <t>수행 2월 금액</t>
  </si>
  <si>
    <t>수행 3월 금액</t>
  </si>
  <si>
    <t>수행 4월 금액</t>
  </si>
  <si>
    <t>수행 5월 금액</t>
  </si>
  <si>
    <t>수행 6월 금액</t>
  </si>
  <si>
    <t>수행 7월 금액</t>
  </si>
  <si>
    <t>수행 8월 금액</t>
  </si>
  <si>
    <t>수행 9월 금액</t>
  </si>
  <si>
    <t>수행 10월 금액</t>
  </si>
  <si>
    <t>수행 11월 금액</t>
  </si>
  <si>
    <t>수행 12월 금액</t>
  </si>
  <si>
    <t>margin_m1_amt</t>
    <phoneticPr fontId="1" type="noConversion"/>
  </si>
  <si>
    <t>마진 1월 금액</t>
  </si>
  <si>
    <t>margin_m2_amt</t>
  </si>
  <si>
    <t>마진 2월 금액</t>
  </si>
  <si>
    <t>margin_m3_amt</t>
  </si>
  <si>
    <t>마진 3월 금액</t>
  </si>
  <si>
    <t>margin_m4_amt</t>
  </si>
  <si>
    <t>마진 4월 금액</t>
  </si>
  <si>
    <t>margin_m5_amt</t>
  </si>
  <si>
    <t>마진 5월 금액</t>
  </si>
  <si>
    <t>margin_m6_amt</t>
  </si>
  <si>
    <t>마진 6월 금액</t>
  </si>
  <si>
    <t>margin_m7_amt</t>
  </si>
  <si>
    <t>마진 7월 금액</t>
  </si>
  <si>
    <t>margin_m8_amt</t>
  </si>
  <si>
    <t>마진 8월 금액</t>
  </si>
  <si>
    <t>margin_m9_amt</t>
  </si>
  <si>
    <t>마진 9월 금액</t>
  </si>
  <si>
    <t>margin_m10_amt</t>
  </si>
  <si>
    <t>마진 10월 금액</t>
  </si>
  <si>
    <t>margin_m11_amt</t>
  </si>
  <si>
    <t>마진 11월 금액</t>
  </si>
  <si>
    <t>margin_m12_amt</t>
  </si>
  <si>
    <t>마진 12월 금액</t>
  </si>
  <si>
    <t>매출 장판지 관리하는 테이블</t>
    <phoneticPr fontId="1" type="noConversion"/>
  </si>
  <si>
    <t>회계연도</t>
  </si>
  <si>
    <t>마감월</t>
    <phoneticPr fontId="1" type="noConversion"/>
  </si>
  <si>
    <t>5/8 추가</t>
    <phoneticPr fontId="1" type="noConversion"/>
  </si>
  <si>
    <t>4-1</t>
    <phoneticPr fontId="1" type="noConversion"/>
  </si>
  <si>
    <t>Platform 프로젝트 마스터의 순번</t>
    <phoneticPr fontId="1" type="noConversion"/>
  </si>
  <si>
    <t>src_type</t>
    <phoneticPr fontId="1" type="noConversion"/>
  </si>
  <si>
    <t>Data 속성</t>
    <phoneticPr fontId="1" type="noConversion"/>
  </si>
  <si>
    <r>
      <t xml:space="preserve">E : ERP
WO : WG ORG(본부별)
</t>
    </r>
    <r>
      <rPr>
        <sz val="10"/>
        <color rgb="FFFF0000"/>
        <rFont val="맑은 고딕"/>
        <family val="3"/>
        <charset val="129"/>
        <scheme val="minor"/>
      </rPr>
      <t>WA : WG ACCOUNT(고객사별)</t>
    </r>
    <r>
      <rPr>
        <sz val="10"/>
        <color rgb="FF000000"/>
        <rFont val="맑은 고딕"/>
        <family val="3"/>
        <charset val="129"/>
        <scheme val="minor"/>
      </rPr>
      <t xml:space="preserve">
P : Platform
S : 자회사
D : SFDC(Deal)
# Conversion
 - prj_no가 2011로 시작되면 WA</t>
    </r>
    <phoneticPr fontId="1" type="noConversion"/>
  </si>
  <si>
    <t>rodr_m1_amt</t>
    <phoneticPr fontId="1" type="noConversion"/>
  </si>
  <si>
    <t>수주 1 월 금액</t>
  </si>
  <si>
    <t>pl_contract_amt 로 대체</t>
  </si>
  <si>
    <t>수주 2 월 금액</t>
  </si>
  <si>
    <t>수주 3 월 금액</t>
  </si>
  <si>
    <t>수주 4 월 금액</t>
  </si>
  <si>
    <t>수주 5 월 금액</t>
  </si>
  <si>
    <t>수주 6 월 금액</t>
  </si>
  <si>
    <t>수주 7 월 금액</t>
  </si>
  <si>
    <t>수주 8 월 금액</t>
  </si>
  <si>
    <t>수주 9 월 금액</t>
  </si>
  <si>
    <t>수주 10 월 금액</t>
  </si>
  <si>
    <t>수주 11 월 금액</t>
  </si>
  <si>
    <t>수주 12 월 금액</t>
  </si>
  <si>
    <t>(18, 2)</t>
    <phoneticPr fontId="1" type="noConversion"/>
  </si>
  <si>
    <t>sale_m1_amt</t>
    <phoneticPr fontId="1" type="noConversion"/>
  </si>
  <si>
    <t>진행매출(원가*마진)</t>
    <phoneticPr fontId="1" type="noConversion"/>
  </si>
  <si>
    <t>prj_prfm_m1_amt</t>
    <phoneticPr fontId="1" type="noConversion"/>
  </si>
  <si>
    <t>마진(매출-수행금액)</t>
    <phoneticPr fontId="1" type="noConversion"/>
  </si>
  <si>
    <t xml:space="preserve"> </t>
    <phoneticPr fontId="1" type="noConversion"/>
  </si>
  <si>
    <t>Platform I/F 테이블</t>
  </si>
  <si>
    <t>year_month</t>
    <phoneticPr fontId="1" type="noConversion"/>
  </si>
  <si>
    <t>마감년월</t>
    <phoneticPr fontId="1" type="noConversion"/>
  </si>
  <si>
    <t>prj_nm</t>
    <phoneticPr fontId="1" type="noConversion"/>
  </si>
  <si>
    <t>프로젝트 Desc.</t>
    <phoneticPr fontId="1" type="noConversion"/>
  </si>
  <si>
    <t>5/6 추가</t>
    <phoneticPr fontId="1" type="noConversion"/>
  </si>
  <si>
    <t>사업기회 번호</t>
    <phoneticPr fontId="1" type="noConversion"/>
  </si>
  <si>
    <t>수주 조직 코드</t>
    <phoneticPr fontId="1" type="noConversion"/>
  </si>
  <si>
    <t>프로젝트 유형 코드</t>
  </si>
  <si>
    <t>견적대상번호</t>
  </si>
  <si>
    <t>적용기술(명)</t>
  </si>
  <si>
    <t>브랜드(명)</t>
  </si>
  <si>
    <t>융복합사업여부</t>
    <phoneticPr fontId="1" type="noConversion"/>
  </si>
  <si>
    <t>수주 1월 금액</t>
    <phoneticPr fontId="1" type="noConversion"/>
  </si>
  <si>
    <t>수주 2월 금액</t>
    <phoneticPr fontId="1" type="noConversion"/>
  </si>
  <si>
    <t>수주 3월 금액</t>
    <phoneticPr fontId="1" type="noConversion"/>
  </si>
  <si>
    <t>수주 4월 금액</t>
    <phoneticPr fontId="1" type="noConversion"/>
  </si>
  <si>
    <t>수주 5월 금액</t>
    <phoneticPr fontId="1" type="noConversion"/>
  </si>
  <si>
    <t>수주 6월 금액</t>
    <phoneticPr fontId="1" type="noConversion"/>
  </si>
  <si>
    <t>수주 7월 금액</t>
    <phoneticPr fontId="1" type="noConversion"/>
  </si>
  <si>
    <t>수주 8월 금액</t>
    <phoneticPr fontId="1" type="noConversion"/>
  </si>
  <si>
    <t>수주 9월 금액</t>
    <phoneticPr fontId="1" type="noConversion"/>
  </si>
  <si>
    <t>수주 10월 금액</t>
    <phoneticPr fontId="1" type="noConversion"/>
  </si>
  <si>
    <t>수주 11월 금액</t>
    <phoneticPr fontId="1" type="noConversion"/>
  </si>
  <si>
    <t>수주 12월 금액</t>
    <phoneticPr fontId="1" type="noConversion"/>
  </si>
  <si>
    <t xml:space="preserve">SFDC I/F 테이블		</t>
  </si>
  <si>
    <t>prj_no_sfdc</t>
    <phoneticPr fontId="1" type="noConversion"/>
  </si>
  <si>
    <t>사업기회 매출귀속조직 ID</t>
  </si>
  <si>
    <t>SFDC ID</t>
  </si>
  <si>
    <t>006J3000002UdqAIAS</t>
    <phoneticPr fontId="1" type="noConversion"/>
  </si>
  <si>
    <t>사업기회 : 사업기회매출귀속조직</t>
  </si>
  <si>
    <t>PROMIS 연결 시(Deal Stage: Registered 단계 후) 존재</t>
    <phoneticPr fontId="1" type="noConversion"/>
  </si>
  <si>
    <t>30129645-D001</t>
    <phoneticPr fontId="1" type="noConversion"/>
  </si>
  <si>
    <t>1:N</t>
  </si>
  <si>
    <t>프로젝트 시작일</t>
  </si>
  <si>
    <t>yyyy-ｍｍ-dd</t>
  </si>
  <si>
    <t>2025-04-21</t>
  </si>
  <si>
    <t>프로젝트 종료일</t>
  </si>
  <si>
    <t>prj_tp_nm</t>
  </si>
  <si>
    <t xml:space="preserve">	SI-H/W S/W 설치</t>
  </si>
  <si>
    <t>sales_ratio</t>
    <phoneticPr fontId="1" type="noConversion"/>
  </si>
  <si>
    <t>매출액 비중</t>
  </si>
  <si>
    <t>(5, 2)</t>
  </si>
  <si>
    <t>추가</t>
  </si>
  <si>
    <t>100.00 일 경우 5자리라 Decimal (5,2) 변경</t>
  </si>
  <si>
    <t>yyyy</t>
  </si>
  <si>
    <t>2005</t>
  </si>
  <si>
    <t>biz_opp_no_sfdc</t>
    <phoneticPr fontId="1" type="noConversion"/>
  </si>
  <si>
    <t>사업기회 ID</t>
  </si>
  <si>
    <t>006J3000002UdqAIAS</t>
  </si>
  <si>
    <t>PROMIS 연결 시(Deal Stage: Registered 단계 후) 존재</t>
  </si>
  <si>
    <t>30129645</t>
    <phoneticPr fontId="1" type="noConversion"/>
  </si>
  <si>
    <t>Deal Stage</t>
  </si>
  <si>
    <t>Qualified</t>
  </si>
  <si>
    <t>common.customer.code</t>
  </si>
  <si>
    <t>ERP 코드</t>
  </si>
  <si>
    <t>8448502142</t>
  </si>
  <si>
    <t>cstco_name</t>
  </si>
  <si>
    <t>고객사 명</t>
  </si>
  <si>
    <t>common.customer.name</t>
  </si>
  <si>
    <t>농협은행 주식회사</t>
  </si>
  <si>
    <t>biz_tp_account_cd</t>
  </si>
  <si>
    <t>Account 구분 코드</t>
    <phoneticPr fontId="1" type="noConversion"/>
  </si>
  <si>
    <t>고객 Account 구분코드</t>
    <phoneticPr fontId="1" type="noConversion"/>
  </si>
  <si>
    <t>Account 구분명</t>
    <phoneticPr fontId="1" type="noConversion"/>
  </si>
  <si>
    <t>고객 Account 구분명</t>
    <phoneticPr fontId="1" type="noConversion"/>
  </si>
  <si>
    <t>04. 대내-(ICT) Mid-Tier</t>
  </si>
  <si>
    <t>True</t>
  </si>
  <si>
    <t>expected_contract_date</t>
  </si>
  <si>
    <t>예상 계약일자</t>
  </si>
  <si>
    <t>yyyy-ｍｍ-dd</t>
    <phoneticPr fontId="1" type="noConversion"/>
  </si>
  <si>
    <t>목표수익률</t>
  </si>
  <si>
    <t>(4, 2)</t>
  </si>
  <si>
    <t>25.00</t>
  </si>
  <si>
    <t>rodr_ccorg_cd</t>
  </si>
  <si>
    <t>cc code</t>
  </si>
  <si>
    <t>700600</t>
  </si>
  <si>
    <t>매출조직 코드</t>
    <phoneticPr fontId="1" type="noConversion"/>
  </si>
  <si>
    <t>452100</t>
  </si>
  <si>
    <t>dgtr_task_cd</t>
    <phoneticPr fontId="1" type="noConversion"/>
  </si>
  <si>
    <t>SCM 체계 고도화</t>
  </si>
  <si>
    <t>cls_rsn_tp_cd</t>
    <phoneticPr fontId="1" type="noConversion"/>
  </si>
  <si>
    <t>사업기회 종료 구분코드</t>
    <phoneticPr fontId="1" type="noConversion"/>
  </si>
  <si>
    <t>cls_rsn_tp_nm</t>
    <phoneticPr fontId="1" type="noConversion"/>
  </si>
  <si>
    <t>사업기회 종료 구분명</t>
    <phoneticPr fontId="1" type="noConversion"/>
  </si>
  <si>
    <t>prj_target_m1_amt</t>
  </si>
  <si>
    <t>수주목표액 1월</t>
  </si>
  <si>
    <t>(18, 2)</t>
  </si>
  <si>
    <t>동일한 사업기회 ID에 대해, 최소 매출귀속조직 ID에만 값 저장</t>
  </si>
  <si>
    <t>prj_target_m2_amt</t>
  </si>
  <si>
    <t>수주목표액 2월</t>
  </si>
  <si>
    <t>prj_target_m3_amt</t>
  </si>
  <si>
    <t>수주목표액 3월</t>
  </si>
  <si>
    <t>prj_target_m4_amt</t>
  </si>
  <si>
    <t>수주목표액 4월</t>
  </si>
  <si>
    <t>prj_target_m5_amt</t>
  </si>
  <si>
    <t>수주목표액 5월</t>
  </si>
  <si>
    <t>동일한 사업기회 ID에 대해, 최소 매출귀속조직 ID에만 값 저장</t>
    <phoneticPr fontId="1" type="noConversion"/>
  </si>
  <si>
    <t>prj_target_m6_amt</t>
  </si>
  <si>
    <t>수주목표액 6월</t>
  </si>
  <si>
    <t>prj_target_m7_amt</t>
  </si>
  <si>
    <t>수주목표액 7월</t>
  </si>
  <si>
    <t>prj_target_m8_amt</t>
  </si>
  <si>
    <t>수주목표액 8월</t>
  </si>
  <si>
    <t>prj_target_m9_amt</t>
  </si>
  <si>
    <t>수주목표액 9월</t>
  </si>
  <si>
    <t>prj_target_m10_amt</t>
  </si>
  <si>
    <t>수주목표액 10월</t>
  </si>
  <si>
    <t>prj_target_m11_amt</t>
  </si>
  <si>
    <t>수주목표액 11월</t>
  </si>
  <si>
    <t>prj_target_m12_amt</t>
  </si>
  <si>
    <t>수주목표액 12월</t>
  </si>
  <si>
    <t>매출액 1월</t>
  </si>
  <si>
    <t>수주목표액 * 매출귀속조직 매출액 비중</t>
  </si>
  <si>
    <t>매출액 2월</t>
  </si>
  <si>
    <t>매출액 3월</t>
  </si>
  <si>
    <t>매출액 4월</t>
  </si>
  <si>
    <t>매출액 5월</t>
  </si>
  <si>
    <t>매출액 6월</t>
  </si>
  <si>
    <t>매출액 7월</t>
  </si>
  <si>
    <t>매출액 8월</t>
  </si>
  <si>
    <t>매출액 9월</t>
  </si>
  <si>
    <t>매출액 10월</t>
  </si>
  <si>
    <t>매출액 11월</t>
  </si>
  <si>
    <t>매출액 12월</t>
  </si>
  <si>
    <t>prj_cost_m1_amt</t>
  </si>
  <si>
    <t>수행(원가 합계) 1월</t>
  </si>
  <si>
    <t>매출액 * (1 - 목표수익률)</t>
  </si>
  <si>
    <t>prj_cost_m2_amt</t>
  </si>
  <si>
    <t>수행(원가 합계) 2월</t>
  </si>
  <si>
    <t>prj_cost_m3_amt</t>
  </si>
  <si>
    <t>수행(원가 합계) 3월</t>
  </si>
  <si>
    <t>prj_cost_m4_amt</t>
  </si>
  <si>
    <t>수행(원가 합계) 4월</t>
  </si>
  <si>
    <t>prj_cost_m5_amt</t>
  </si>
  <si>
    <t>수행(원가 합계) 5월</t>
  </si>
  <si>
    <t>prj_cost_m6_amt</t>
  </si>
  <si>
    <t>수행(원가 합계) 6월</t>
  </si>
  <si>
    <t>prj_cost_m7_amt</t>
  </si>
  <si>
    <t>수행(원가 합계) 7월</t>
  </si>
  <si>
    <t>prj_cost_m8_amt</t>
  </si>
  <si>
    <t>수행(원가 합계) 8월</t>
  </si>
  <si>
    <t>prj_cost_m9_amt</t>
  </si>
  <si>
    <t>수행(원가 합계) 9월</t>
  </si>
  <si>
    <t>prj_cost_m10_amt</t>
  </si>
  <si>
    <t>수행(원가 합계) 10월</t>
  </si>
  <si>
    <t>prj_cost_m11_amt</t>
  </si>
  <si>
    <t>수행(원가 합계) 11월</t>
  </si>
  <si>
    <t>prj_cost_m12_amt</t>
  </si>
  <si>
    <t>수행(원가 합계) 12월</t>
  </si>
  <si>
    <t>prj_labor_m1_amt</t>
  </si>
  <si>
    <t>수행(원가 인건비) 1월</t>
  </si>
  <si>
    <t>수행(원가 합계) * 프로젝트타입별 기준 비율</t>
  </si>
  <si>
    <t>prj_labor_m2_amt</t>
  </si>
  <si>
    <t>수행(원가 인건비) 2월</t>
  </si>
  <si>
    <t>prj_labor_m3_amt</t>
  </si>
  <si>
    <t>수행(원가 인건비) 3월</t>
  </si>
  <si>
    <t>prj_labor_m4_amt</t>
  </si>
  <si>
    <t>수행(원가 인건비) 4월</t>
  </si>
  <si>
    <t>prj_labor_m5_amt</t>
  </si>
  <si>
    <t>수행(원가 인건비) 5월</t>
  </si>
  <si>
    <t>prj_labor_m6_amt</t>
  </si>
  <si>
    <t>수행(원가 인건비) 6월</t>
  </si>
  <si>
    <t>prj_labor_m7_amt</t>
  </si>
  <si>
    <t>수행(원가 인건비) 7월</t>
  </si>
  <si>
    <t>prj_labor_m8_amt</t>
  </si>
  <si>
    <t>수행(원가 인건비) 8월</t>
  </si>
  <si>
    <t>prj_labor_m9_amt</t>
  </si>
  <si>
    <t>수행(원가 인건비) 9월</t>
  </si>
  <si>
    <t>prj_labor_m10_amt</t>
  </si>
  <si>
    <t>수행(원가 인건비) 10월</t>
  </si>
  <si>
    <t>prj_labor_m11_amt</t>
  </si>
  <si>
    <t>수행(원가 인건비) 11월</t>
  </si>
  <si>
    <t>prj_labor_m12_amt</t>
  </si>
  <si>
    <t>수행(원가 인건비) 12월</t>
  </si>
  <si>
    <t>prj_el_m1_amt</t>
    <phoneticPr fontId="1" type="noConversion"/>
  </si>
  <si>
    <t>수행(원가 외주비) 1월</t>
  </si>
  <si>
    <t>prj_el_m2_amt</t>
  </si>
  <si>
    <t>수행(원가 외주비) 2월</t>
  </si>
  <si>
    <t>prj_el_m3_amt</t>
  </si>
  <si>
    <t>수행(원가 외주비) 3월</t>
  </si>
  <si>
    <t>prj_el_m4_amt</t>
  </si>
  <si>
    <t>수행(원가 외주비) 4월</t>
  </si>
  <si>
    <t>prj_el_m5_amt</t>
  </si>
  <si>
    <t>수행(원가 외주비) 5월</t>
  </si>
  <si>
    <t>prj_el_m6_amt</t>
  </si>
  <si>
    <t>수행(원가 외주비) 6월</t>
  </si>
  <si>
    <t>prj_el_m7_amt</t>
  </si>
  <si>
    <t>수행(원가 외주비) 7월</t>
  </si>
  <si>
    <t>prj_el_m8_amt</t>
  </si>
  <si>
    <t>수행(원가 외주비) 8월</t>
  </si>
  <si>
    <t>prj_el_m9_amt</t>
  </si>
  <si>
    <t>수행(원가 외주비) 9월</t>
  </si>
  <si>
    <t>prj_el_m10_amt</t>
  </si>
  <si>
    <t>수행(원가 외주비) 10월</t>
  </si>
  <si>
    <t>prj_el_m11_amt</t>
  </si>
  <si>
    <t>수행(원가 외주비) 11월</t>
  </si>
  <si>
    <t>prj_el_m12_amt</t>
  </si>
  <si>
    <t>수행(원가 외주비) 12월</t>
  </si>
  <si>
    <t>prj_ats_m1_amt</t>
  </si>
  <si>
    <t>수행(원가 ATS) 1월</t>
  </si>
  <si>
    <t>prj_ats_m2_amt</t>
  </si>
  <si>
    <t>수행(원가 ATS) 2월</t>
  </si>
  <si>
    <t>prj_ats_m3_amt</t>
  </si>
  <si>
    <t>수행(원가 ATS) 3월</t>
  </si>
  <si>
    <t>prj_ats_m4_amt</t>
  </si>
  <si>
    <t>수행(원가 ATS) 4월</t>
  </si>
  <si>
    <t>prj_ats_m5_amt</t>
  </si>
  <si>
    <t>수행(원가 ATS) 5월</t>
  </si>
  <si>
    <t>prj_ats_m6_amt</t>
  </si>
  <si>
    <t>수행(원가 ATS) 6월</t>
  </si>
  <si>
    <t>prj_ats_m7_amt</t>
  </si>
  <si>
    <t>수행(원가 ATS) 7월</t>
  </si>
  <si>
    <t>prj_ats_m8_amt</t>
  </si>
  <si>
    <t>수행(원가 ATS) 8월</t>
  </si>
  <si>
    <t>prj_ats_m9_amt</t>
  </si>
  <si>
    <t>수행(원가 ATS) 9월</t>
  </si>
  <si>
    <t>prj_ats_m10_amt</t>
  </si>
  <si>
    <t>수행(원가 ATS) 10월</t>
  </si>
  <si>
    <t>prj_ats_m11_amt</t>
  </si>
  <si>
    <t>수행(원가 ATS) 11월</t>
  </si>
  <si>
    <t>prj_ats_m12_amt</t>
  </si>
  <si>
    <t>수행(원가 ATS) 12월</t>
  </si>
  <si>
    <t>prj_ags_m1_amt</t>
  </si>
  <si>
    <t>수행(원가 AGS) 1월</t>
  </si>
  <si>
    <t>prj_ags_m2_amt</t>
  </si>
  <si>
    <t>수행(원가 AGS) 2월</t>
  </si>
  <si>
    <t>prj_ags_m3_amt</t>
  </si>
  <si>
    <t>수행(원가 AGS) 3월</t>
  </si>
  <si>
    <t>prj_ags_m4_amt</t>
  </si>
  <si>
    <t>수행(원가 AGS) 4월</t>
  </si>
  <si>
    <t>prj_ags_m5_amt</t>
  </si>
  <si>
    <t>수행(원가 AGS) 5월</t>
  </si>
  <si>
    <t>prj_ags_m6_amt</t>
  </si>
  <si>
    <t>수행(원가 AGS) 6월</t>
  </si>
  <si>
    <t>prj_ags_m7_amt</t>
  </si>
  <si>
    <t>수행(원가 AGS) 7월</t>
  </si>
  <si>
    <t>prj_ags_m8_amt</t>
  </si>
  <si>
    <t>수행(원가 AGS) 8월</t>
  </si>
  <si>
    <t>prj_ags_m9_amt</t>
  </si>
  <si>
    <t>수행(원가 AGS) 9월</t>
  </si>
  <si>
    <t>prj_ags_m10_amt</t>
  </si>
  <si>
    <t>수행(원가 AGS) 10월</t>
  </si>
  <si>
    <t>prj_ags_m11_amt</t>
  </si>
  <si>
    <t>수행(원가 AGS) 11월</t>
  </si>
  <si>
    <t>prj_ags_m12_amt</t>
  </si>
  <si>
    <t>수행(원가 AGS) 12월</t>
  </si>
  <si>
    <t>prj_ai_m1_amt</t>
  </si>
  <si>
    <t>수행(원가 AI) 1월</t>
  </si>
  <si>
    <t>prj_ai_m2_amt</t>
  </si>
  <si>
    <t>수행(원가 AI) 2월</t>
  </si>
  <si>
    <t>prj_ai_m3_amt</t>
  </si>
  <si>
    <t>수행(원가 AI) 3월</t>
  </si>
  <si>
    <t>prj_ai_m4_amt</t>
  </si>
  <si>
    <t>수행(원가 AI) 4월</t>
  </si>
  <si>
    <t>prj_ai_m5_amt</t>
  </si>
  <si>
    <t>수행(원가 AI) 5월</t>
  </si>
  <si>
    <t>prj_ai_m6_amt</t>
  </si>
  <si>
    <t>수행(원가 AI) 6월</t>
  </si>
  <si>
    <t>prj_ai_m7_amt</t>
  </si>
  <si>
    <t>수행(원가 AI) 7월</t>
  </si>
  <si>
    <t>prj_ai_m8_amt</t>
  </si>
  <si>
    <t>수행(원가 AI) 8월</t>
  </si>
  <si>
    <t>prj_ai_m9_amt</t>
  </si>
  <si>
    <t>수행(원가 AI) 9월</t>
  </si>
  <si>
    <t>prj_ai_m10_amt</t>
  </si>
  <si>
    <t>수행(원가 AI) 10월</t>
  </si>
  <si>
    <t>prj_ai_m11_amt</t>
  </si>
  <si>
    <t>수행(원가 AI) 11월</t>
  </si>
  <si>
    <t>prj_ai_m12_amt</t>
  </si>
  <si>
    <t>수행(원가 AI) 12월</t>
  </si>
  <si>
    <t>prj_mc_m1_amt</t>
    <phoneticPr fontId="1" type="noConversion"/>
  </si>
  <si>
    <t>수행(원가 상품) 1월</t>
  </si>
  <si>
    <t>prj_mc_m2_amt</t>
  </si>
  <si>
    <t>수행(원가 상품) 2월</t>
  </si>
  <si>
    <t>prj_mc_m3_amt</t>
  </si>
  <si>
    <t>수행(원가 상품) 3월</t>
  </si>
  <si>
    <t>prj_mc_m4_amt</t>
  </si>
  <si>
    <t>수행(원가 상품) 4월</t>
  </si>
  <si>
    <t>prj_mc_m5_amt</t>
  </si>
  <si>
    <t>수행(원가 상품) 5월</t>
  </si>
  <si>
    <t>prj_mc_m6_amt</t>
  </si>
  <si>
    <t>수행(원가 상품) 6월</t>
  </si>
  <si>
    <t>prj_mc_m7_amt</t>
  </si>
  <si>
    <t>수행(원가 상품) 7월</t>
  </si>
  <si>
    <t>prj_mc_m8_amt</t>
  </si>
  <si>
    <t>수행(원가 상품) 8월</t>
  </si>
  <si>
    <t>prj_mc_m9_amt</t>
  </si>
  <si>
    <t>수행(원가 상품) 9월</t>
  </si>
  <si>
    <t>prj_mc_m10_amt</t>
  </si>
  <si>
    <t>수행(원가 상품) 10월</t>
  </si>
  <si>
    <t>prj_mc_m11_amt</t>
  </si>
  <si>
    <t>수행(원가 상품) 11월</t>
  </si>
  <si>
    <t>prj_mc_m12_amt</t>
  </si>
  <si>
    <t>수행(원가 상품) 12월</t>
  </si>
  <si>
    <t>prj_exp_m1_amt</t>
  </si>
  <si>
    <t>수행(원가 경비) 1월</t>
  </si>
  <si>
    <t>prj_exp_m2_amt</t>
  </si>
  <si>
    <t>수행(원가 경비) 2월</t>
  </si>
  <si>
    <t>prj_exp_m3_amt</t>
  </si>
  <si>
    <t>수행(원가 경비) 3월</t>
  </si>
  <si>
    <t>prj_exp_m4_amt</t>
  </si>
  <si>
    <t>수행(원가 경비) 4월</t>
  </si>
  <si>
    <t>prj_exp_m5_amt</t>
  </si>
  <si>
    <t>수행(원가 경비) 5월</t>
  </si>
  <si>
    <t>prj_exp_m6_amt</t>
  </si>
  <si>
    <t>수행(원가 경비) 6월</t>
  </si>
  <si>
    <t>prj_exp_m7_amt</t>
  </si>
  <si>
    <t>수행(원가 경비) 7월</t>
  </si>
  <si>
    <t>prj_exp_m8_amt</t>
  </si>
  <si>
    <t>수행(원가 경비) 8월</t>
  </si>
  <si>
    <t>prj_exp_m9_amt</t>
  </si>
  <si>
    <t>수행(원가 경비) 9월</t>
  </si>
  <si>
    <t>prj_exp_m10_amt</t>
  </si>
  <si>
    <t>수행(원가 경비) 10월</t>
  </si>
  <si>
    <t>prj_exp_m11_amt</t>
  </si>
  <si>
    <t>수행(원가 경비) 11월</t>
  </si>
  <si>
    <t>prj_exp_m12_amt</t>
  </si>
  <si>
    <t>수행(원가 경비) 12월</t>
  </si>
  <si>
    <t xml:space="preserve">SFDC 계약완료 프로젝트	</t>
  </si>
  <si>
    <t>Deal Stage 코드</t>
  </si>
  <si>
    <t>Contracted</t>
    <phoneticPr fontId="1" type="noConversion"/>
  </si>
  <si>
    <t>common.customer.code</t>
    <phoneticPr fontId="1" type="noConversion"/>
  </si>
  <si>
    <t>common.customer.name</t>
    <phoneticPr fontId="1" type="noConversion"/>
  </si>
  <si>
    <t>prj_target_m1_amt</t>
    <phoneticPr fontId="1" type="noConversion"/>
  </si>
  <si>
    <t xml:space="preserve">PROMIS 내 Delivery 조직 프로젝트 인건비 I/F 테이블 </t>
    <phoneticPr fontId="1" type="noConversion"/>
  </si>
  <si>
    <t>rsp</t>
    <phoneticPr fontId="1" type="noConversion"/>
  </si>
  <si>
    <t>year_month</t>
  </si>
  <si>
    <t>마감연월</t>
    <phoneticPr fontId="1" type="noConversion"/>
  </si>
  <si>
    <t>인건비가 귀속되는 조직의 CC</t>
  </si>
  <si>
    <t>actual_yn</t>
  </si>
  <si>
    <t>실적여부</t>
  </si>
  <si>
    <t>해당 월이 실적이면 'X'</t>
  </si>
  <si>
    <t>bill_amt</t>
  </si>
  <si>
    <t>빌링 인건비</t>
  </si>
  <si>
    <t>indirect_cost</t>
    <phoneticPr fontId="1" type="noConversion"/>
  </si>
  <si>
    <t>사내간접비</t>
    <phoneticPr fontId="1" type="noConversion"/>
  </si>
  <si>
    <t xml:space="preserve">PROMIS 내 Delivery 조직 프로젝트 인건비 저장 테이블 </t>
    <phoneticPr fontId="1" type="noConversion"/>
  </si>
  <si>
    <t>프로젝트 월 별 인건비 테이블</t>
    <phoneticPr fontId="1" type="noConversion"/>
  </si>
  <si>
    <t>IV106553</t>
  </si>
  <si>
    <t>프로젝트가 1년이 넘는 기간 동안 진행 될 경우를 상정</t>
  </si>
  <si>
    <t>이후는 계획 인건비 (확보된 프로젝트)</t>
  </si>
  <si>
    <t>bill_m2_amt</t>
  </si>
  <si>
    <t>bill_m3_amt</t>
  </si>
  <si>
    <t>bill_m4_amt</t>
  </si>
  <si>
    <t>bill_m5_amt</t>
  </si>
  <si>
    <t>bill_m6_amt</t>
  </si>
  <si>
    <t>bill_m7_amt</t>
  </si>
  <si>
    <t>bill_m8_amt</t>
  </si>
  <si>
    <t>bill_m9_amt</t>
  </si>
  <si>
    <t>bill_m10_amt</t>
  </si>
  <si>
    <t>bill_m11_amt</t>
  </si>
  <si>
    <t>bill_m12_amt</t>
  </si>
  <si>
    <t>indirect_cost_m1</t>
    <phoneticPr fontId="1" type="noConversion"/>
  </si>
  <si>
    <t>1월 사내간접비</t>
    <phoneticPr fontId="1" type="noConversion"/>
  </si>
  <si>
    <t>indirect_cost_m2</t>
  </si>
  <si>
    <t>2월 사내간접비</t>
  </si>
  <si>
    <t>indirect_cost_m3</t>
  </si>
  <si>
    <t>3월 사내간접비</t>
  </si>
  <si>
    <t>indirect_cost_m4</t>
  </si>
  <si>
    <t>4월 사내간접비</t>
  </si>
  <si>
    <t>indirect_cost_m5</t>
  </si>
  <si>
    <t>5월 사내간접비</t>
  </si>
  <si>
    <t>indirect_cost_m6</t>
  </si>
  <si>
    <t>6월 사내간접비</t>
  </si>
  <si>
    <t>indirect_cost_m7</t>
  </si>
  <si>
    <t>7월 사내간접비</t>
  </si>
  <si>
    <t>indirect_cost_m8</t>
  </si>
  <si>
    <t>8월 사내간접비</t>
  </si>
  <si>
    <t>indirect_cost_m9</t>
  </si>
  <si>
    <t>9월 사내간접비</t>
  </si>
  <si>
    <t>indirect_cost_m10</t>
  </si>
  <si>
    <t>10월 사내간접비</t>
  </si>
  <si>
    <t>indirect_cost_m11</t>
  </si>
  <si>
    <t>11월 사내간접비</t>
  </si>
  <si>
    <t>indirect_cost_m12</t>
  </si>
  <si>
    <t>12월 사내간접비</t>
  </si>
  <si>
    <t>PROMIS 인력 경영계획(M/M) I/F 테이블</t>
  </si>
  <si>
    <t>마감연월</t>
  </si>
  <si>
    <t>인건비, MM 귀속되는 조직의 CC</t>
  </si>
  <si>
    <t>bun_tp</t>
  </si>
  <si>
    <t>B/U/N 타입</t>
  </si>
  <si>
    <t>B/U/N 타입 구분 속성</t>
  </si>
  <si>
    <t>B</t>
  </si>
  <si>
    <t>mm_m1_amt</t>
  </si>
  <si>
    <t>1월 MM</t>
  </si>
  <si>
    <t>(5,1)</t>
  </si>
  <si>
    <t>조직의 해당 월 MM</t>
  </si>
  <si>
    <t>mm_m2_amt</t>
  </si>
  <si>
    <t>2월 MM</t>
  </si>
  <si>
    <t>mm_m3_amt</t>
  </si>
  <si>
    <t>3월 MM</t>
  </si>
  <si>
    <t>mm_m4_amt</t>
  </si>
  <si>
    <t>4월 MM</t>
  </si>
  <si>
    <t>mm_m5_amt</t>
  </si>
  <si>
    <t>5월 MM</t>
  </si>
  <si>
    <t>mm_m6_amt</t>
  </si>
  <si>
    <t>6월 MM</t>
  </si>
  <si>
    <t>mm_m7_amt</t>
  </si>
  <si>
    <t>7월 MM</t>
  </si>
  <si>
    <t>mm_m8_amt</t>
  </si>
  <si>
    <t>8월 MM</t>
  </si>
  <si>
    <t>mm_m9_amt</t>
  </si>
  <si>
    <t>9월 MM</t>
  </si>
  <si>
    <t>mm_m10_amt</t>
  </si>
  <si>
    <t>10월 MM</t>
  </si>
  <si>
    <t>mm_m11_amt</t>
  </si>
  <si>
    <t>11월 MM</t>
  </si>
  <si>
    <t>mm_m12_amt</t>
  </si>
  <si>
    <t>12월 MM</t>
  </si>
  <si>
    <t>org_mm</t>
  </si>
  <si>
    <t>PROMIS 인력 경영계획(M/M) 테이블</t>
  </si>
  <si>
    <t>인력_if_org_mm의 year_month 값을 잘라서 입력</t>
  </si>
  <si>
    <t>mm_m_amt</t>
  </si>
  <si>
    <t>실적월</t>
  </si>
  <si>
    <t>1월 총 인건비</t>
  </si>
  <si>
    <t>2월 총 인건비</t>
  </si>
  <si>
    <t>3월 총 인건비</t>
  </si>
  <si>
    <t>4월 총 인건비</t>
  </si>
  <si>
    <t>total_m5_amt</t>
  </si>
  <si>
    <t>5월 총 인건비</t>
  </si>
  <si>
    <t>total_m6_amt</t>
  </si>
  <si>
    <t>6월 총 인건비</t>
  </si>
  <si>
    <t>total_m7_amt</t>
  </si>
  <si>
    <t>7월 총 인건비</t>
  </si>
  <si>
    <t>total_m8_amt</t>
  </si>
  <si>
    <t>8월 총 인건비</t>
  </si>
  <si>
    <t>total_m9_amt</t>
  </si>
  <si>
    <t>9월 총 인건비</t>
  </si>
  <si>
    <t>total_m10_amt</t>
  </si>
  <si>
    <t>10월 총 인건비</t>
  </si>
  <si>
    <t>total_m11_amt</t>
  </si>
  <si>
    <t>11월 총 인건비</t>
  </si>
  <si>
    <t>total_m12_amt</t>
  </si>
  <si>
    <t>12월 총 인건비</t>
  </si>
  <si>
    <t>total_m1_emp</t>
    <phoneticPr fontId="1" type="noConversion"/>
  </si>
  <si>
    <t>1월 총 인원수</t>
  </si>
  <si>
    <t>total_m2_emp</t>
  </si>
  <si>
    <t>2월 총 인원수</t>
  </si>
  <si>
    <t>total_m3_emp</t>
  </si>
  <si>
    <t>3월 총 인원수</t>
  </si>
  <si>
    <t>total_m4_emp</t>
  </si>
  <si>
    <t>4월 총 인원수</t>
  </si>
  <si>
    <t>total_m5_emp</t>
  </si>
  <si>
    <t>5월 총 인원수</t>
  </si>
  <si>
    <t>total_m6_emp</t>
  </si>
  <si>
    <t>6월 총 인원수</t>
  </si>
  <si>
    <t>total_m7_emp</t>
  </si>
  <si>
    <t>7월 총 인원수</t>
  </si>
  <si>
    <t>total_m8_emp</t>
  </si>
  <si>
    <t>8월 총 인원수</t>
  </si>
  <si>
    <t>total_m9_emp</t>
  </si>
  <si>
    <t>9월 총 인원수</t>
  </si>
  <si>
    <t>total_m10_emp</t>
  </si>
  <si>
    <t>10월 총 인원수</t>
  </si>
  <si>
    <t>total_m11_emp</t>
  </si>
  <si>
    <t>11월 총 인원수</t>
  </si>
  <si>
    <t>total_m12_emp</t>
  </si>
  <si>
    <t>12월 총 인원수</t>
  </si>
  <si>
    <t>avg_m1_amt</t>
    <phoneticPr fontId="1" type="noConversion"/>
  </si>
  <si>
    <t>1월 평균단가</t>
    <phoneticPr fontId="1" type="noConversion"/>
  </si>
  <si>
    <t>avg_m2_amt</t>
  </si>
  <si>
    <t>2월 평균단가</t>
  </si>
  <si>
    <t>avg_m3_amt</t>
  </si>
  <si>
    <t>3월 평균단가</t>
  </si>
  <si>
    <t>avg_m4_amt</t>
  </si>
  <si>
    <t>4월 평균단가</t>
  </si>
  <si>
    <t>avg_m5_amt</t>
  </si>
  <si>
    <t>5월 평균단가</t>
  </si>
  <si>
    <t>avg_m6_amt</t>
  </si>
  <si>
    <t>6월 평균단가</t>
  </si>
  <si>
    <t>avg_m7_amt</t>
  </si>
  <si>
    <t>7월 평균단가</t>
  </si>
  <si>
    <t>avg_m8_amt</t>
  </si>
  <si>
    <t>8월 평균단가</t>
  </si>
  <si>
    <t>avg_m9_amt</t>
  </si>
  <si>
    <t>9월 평균단가</t>
  </si>
  <si>
    <t>avg_m10_amt</t>
  </si>
  <si>
    <t>10월 평균단가</t>
  </si>
  <si>
    <t>avg_m11_amt</t>
  </si>
  <si>
    <t>11월 평균단가</t>
  </si>
  <si>
    <t>avg_m12_amt</t>
  </si>
  <si>
    <t>12월 평균단가</t>
  </si>
  <si>
    <t>org_total_labor</t>
    <phoneticPr fontId="1" type="noConversion"/>
  </si>
  <si>
    <t>조직 연도 별 총_인건비 테이블</t>
    <phoneticPr fontId="1" type="noConversion"/>
  </si>
  <si>
    <t>O</t>
    <phoneticPr fontId="0" type="noConversion"/>
  </si>
  <si>
    <t>WIDEVIEW</t>
  </si>
  <si>
    <t>total_m1_emp</t>
  </si>
  <si>
    <t>1월 총 인원</t>
  </si>
  <si>
    <t>2월 총 인원</t>
  </si>
  <si>
    <t>3월 총 인원</t>
  </si>
  <si>
    <t>4월 총 인원</t>
  </si>
  <si>
    <t>5월 총 인원</t>
  </si>
  <si>
    <t>6월 총 인원</t>
  </si>
  <si>
    <t>7월 총 인원</t>
  </si>
  <si>
    <t>8월 총 인원</t>
  </si>
  <si>
    <t>9월 총 인원</t>
  </si>
  <si>
    <t>10월 총 인원</t>
  </si>
  <si>
    <t>11월 총 인원</t>
  </si>
  <si>
    <t>12월 총 인원</t>
  </si>
  <si>
    <t>SFDC 내 사업기회 인건비 저장 테이블</t>
    <phoneticPr fontId="1" type="noConversion"/>
  </si>
  <si>
    <t>opp_labor</t>
    <phoneticPr fontId="1" type="noConversion"/>
  </si>
  <si>
    <t>SFDC 데이터 주기는 위클리로 들어 오는데 (monthly로 들어올 수도 있는데 확인해봐야),
인건비는 마감 프로세스가 존재하기 때문에 해당 프로세스를 진행할 때
 SFDC 데이터를 받으면서 month 컬럼에 마감월을 적재하는 것으로 진행.
(SFDC 데이터의 위클리 업데이트에서는 적재 X, 인건비 마감 프로세스에서만 진행)</t>
  </si>
  <si>
    <t>prj_no_sfdc</t>
  </si>
  <si>
    <t>사업기회 매출귀속조직ID</t>
  </si>
  <si>
    <t>프로젝트 타입명</t>
  </si>
  <si>
    <t>received_order_amt</t>
  </si>
  <si>
    <t>마진률</t>
  </si>
  <si>
    <t>Vendor별 외주비 구분 관리 테이블</t>
    <phoneticPr fontId="1" type="noConversion"/>
  </si>
  <si>
    <t>ito_map</t>
    <phoneticPr fontId="1" type="noConversion"/>
  </si>
  <si>
    <t>외주비 구분 맵핑 테이블</t>
  </si>
  <si>
    <t>공통코드로 관리자가 Control 하게 함</t>
    <phoneticPr fontId="1" type="noConversion"/>
  </si>
  <si>
    <t>vendor_cd</t>
    <phoneticPr fontId="1" type="noConversion"/>
  </si>
  <si>
    <t>업체코드</t>
    <phoneticPr fontId="1" type="noConversion"/>
  </si>
  <si>
    <t xml:space="preserve">사업자번호 </t>
    <phoneticPr fontId="1" type="noConversion"/>
  </si>
  <si>
    <t>vendor_nm</t>
    <phoneticPr fontId="1" type="noConversion"/>
  </si>
  <si>
    <t>업체명</t>
    <phoneticPr fontId="1" type="noConversion"/>
  </si>
  <si>
    <t>ito_type</t>
    <phoneticPr fontId="1" type="noConversion"/>
  </si>
  <si>
    <t>외주비 구분</t>
    <phoneticPr fontId="1" type="noConversion"/>
  </si>
  <si>
    <t>K-BP / ATS / AGS / (AI)</t>
  </si>
  <si>
    <t>애커튼은 우선 제외</t>
    <phoneticPr fontId="1" type="noConversion"/>
  </si>
  <si>
    <t>ito_off_yn</t>
    <phoneticPr fontId="1" type="noConversion"/>
  </si>
  <si>
    <t>offshoring 구분자</t>
    <phoneticPr fontId="1" type="noConversion"/>
  </si>
  <si>
    <t>X</t>
    <phoneticPr fontId="1" type="noConversion"/>
  </si>
  <si>
    <t>offshoring 구분자 = 'X'</t>
  </si>
  <si>
    <t>PROMIS 외주비 실적/계획 I/F Table</t>
  </si>
  <si>
    <t>if_ito</t>
  </si>
  <si>
    <t xml:space="preserve"> 외주비 실적/계획 구분 I/F Table</t>
  </si>
  <si>
    <t>202504</t>
  </si>
  <si>
    <t>01</t>
  </si>
  <si>
    <t>1월부터 12월 생김</t>
    <phoneticPr fontId="1" type="noConversion"/>
  </si>
  <si>
    <t>30129826-D001</t>
  </si>
  <si>
    <t>업체 코드</t>
    <phoneticPr fontId="1" type="noConversion"/>
  </si>
  <si>
    <t>실적이관 등 업체 없으면 기타거래처 받지 않음 (실투입만 받음)</t>
  </si>
  <si>
    <t>AGS 관리Table 필요?</t>
    <phoneticPr fontId="1" type="noConversion"/>
  </si>
  <si>
    <t>애커튼테크놀로지서비스</t>
    <phoneticPr fontId="1" type="noConversion"/>
  </si>
  <si>
    <t>oi_ito_amt</t>
    <phoneticPr fontId="1" type="noConversion"/>
  </si>
  <si>
    <t>actual_yn</t>
    <phoneticPr fontId="1" type="noConversion"/>
  </si>
  <si>
    <t>실적 여부</t>
    <phoneticPr fontId="1" type="noConversion"/>
  </si>
  <si>
    <t>X' 면 실적</t>
    <phoneticPr fontId="1" type="noConversion"/>
  </si>
  <si>
    <t>ito</t>
  </si>
  <si>
    <t xml:space="preserve"> 외주비 실적/계획 구분 Table</t>
  </si>
  <si>
    <t>K-BP / ATS / AGS / (AI)</t>
    <phoneticPr fontId="1" type="noConversion"/>
  </si>
  <si>
    <t>SI / OS / (DT)</t>
    <phoneticPr fontId="1" type="noConversion"/>
  </si>
  <si>
    <t>SI/OS 구분 프로젝트 타입을 보고 SI/OS를 넣음  (SI-MA, OT : OS로 / 프로젝트 타입 유형 : DT가 있음 별도 정리 必)</t>
    <phoneticPr fontId="1" type="noConversion"/>
  </si>
  <si>
    <t>ito_m1_amt</t>
  </si>
  <si>
    <t>1월 외주비</t>
    <phoneticPr fontId="1" type="noConversion"/>
  </si>
  <si>
    <t>ito_m2_amt</t>
  </si>
  <si>
    <t>ito_m3_amt</t>
  </si>
  <si>
    <t>ito_m4_amt</t>
  </si>
  <si>
    <t>ito_m5_amt</t>
  </si>
  <si>
    <t>ito_m6_amt</t>
  </si>
  <si>
    <t>ito_m7_amt</t>
  </si>
  <si>
    <t>ito_m8_amt</t>
  </si>
  <si>
    <t>ito_m9_amt</t>
  </si>
  <si>
    <t>ito_m10_amt</t>
  </si>
  <si>
    <t>ito_m11_amt</t>
  </si>
  <si>
    <t>ito_m12_amt</t>
  </si>
  <si>
    <t>ito_sfdc</t>
  </si>
  <si>
    <t xml:space="preserve"> 외주비 추정 구분 Table</t>
  </si>
  <si>
    <t>외주비 구분 장판지 관리 테이블</t>
    <phoneticPr fontId="1" type="noConversion"/>
  </si>
  <si>
    <t xml:space="preserve"> 외주비 실적/계획 구분 장판지</t>
  </si>
  <si>
    <t>외주비 귀속조직 코드</t>
    <phoneticPr fontId="1" type="noConversion"/>
  </si>
  <si>
    <t>SI/OS 구분 프로젝트 타입을 보고 SI/OS를 넣음  (SI-MA, OT : OS로 / 프로젝트 타입 유형 : DT가 있음 별도 정리 必)</t>
  </si>
  <si>
    <t>ito_total_amt</t>
  </si>
  <si>
    <t>총 외주비</t>
    <phoneticPr fontId="1" type="noConversion"/>
  </si>
  <si>
    <t>ERP 투자 월추정 데이터 정보 I/F 받는 테이블</t>
    <phoneticPr fontId="1" type="noConversion"/>
  </si>
  <si>
    <t>IV로 시작하는 모든 프로젝트 포함 / WBS</t>
  </si>
  <si>
    <t>투자프로젝트 비용 : 해당 IV프로젝트의 대표 계정</t>
  </si>
  <si>
    <t>Commitment Item(중계정)</t>
  </si>
  <si>
    <t xml:space="preserve">그외 : 감가상각비 </t>
    <phoneticPr fontId="1" type="noConversion"/>
  </si>
  <si>
    <t>asset_yn</t>
    <phoneticPr fontId="1" type="noConversion"/>
  </si>
  <si>
    <t>Y / N</t>
    <phoneticPr fontId="1" type="noConversion"/>
  </si>
  <si>
    <t>interface 테이블은, ERP에서 String 값으로 받을 수 있도록 Y / N으로 구분</t>
    <phoneticPr fontId="1" type="noConversion"/>
  </si>
  <si>
    <t>iv_cash_m1_amt</t>
    <phoneticPr fontId="1" type="noConversion"/>
  </si>
  <si>
    <t>1월 Cash 금액</t>
    <phoneticPr fontId="1" type="noConversion"/>
  </si>
  <si>
    <t>CASH/COST 자산화 될 금액은 모두 CASH</t>
    <phoneticPr fontId="1" type="noConversion"/>
  </si>
  <si>
    <t>CASH</t>
    <phoneticPr fontId="1" type="noConversion"/>
  </si>
  <si>
    <t>iv_cash_m2_amt</t>
    <phoneticPr fontId="1" type="noConversion"/>
  </si>
  <si>
    <t>2월 Cash 금액</t>
  </si>
  <si>
    <t>iv_cash_m3_amt</t>
  </si>
  <si>
    <t>3월 Cash 금액</t>
  </si>
  <si>
    <t>iv_cash_m4_amt</t>
  </si>
  <si>
    <t>4월 Cash 금액</t>
  </si>
  <si>
    <t>iv_cash_m5_amt</t>
  </si>
  <si>
    <t>5월 Cash 금액</t>
  </si>
  <si>
    <t>iv_cash_m6_amt</t>
  </si>
  <si>
    <t>6월 Cash 금액</t>
  </si>
  <si>
    <t>iv_cash_m7_amt</t>
  </si>
  <si>
    <t>7월 Cash 금액</t>
  </si>
  <si>
    <t>iv_cash_m8_amt</t>
  </si>
  <si>
    <t>8월 Cash 금액</t>
  </si>
  <si>
    <t>iv_cash_m9_amt</t>
  </si>
  <si>
    <t>9월 Cash 금액</t>
  </si>
  <si>
    <t>iv_cash_m10_amt</t>
  </si>
  <si>
    <t>10월 Cash 금액</t>
  </si>
  <si>
    <t>iv_cash_m11_amt</t>
  </si>
  <si>
    <t>11월 Cash 금액</t>
  </si>
  <si>
    <t>iv_cash_m12_amt</t>
  </si>
  <si>
    <t>12월 Cash 금액</t>
  </si>
  <si>
    <t>iv_cost_m1_amt</t>
    <phoneticPr fontId="1" type="noConversion"/>
  </si>
  <si>
    <t>1월 Cost 금액</t>
    <phoneticPr fontId="1" type="noConversion"/>
  </si>
  <si>
    <t>iv_cost_m2_amt</t>
    <phoneticPr fontId="1" type="noConversion"/>
  </si>
  <si>
    <t>2월 Cost 금액</t>
  </si>
  <si>
    <t>iv_cost_m3_amt</t>
  </si>
  <si>
    <t>3월 Cost 금액</t>
  </si>
  <si>
    <t>iv_cost_m4_amt</t>
  </si>
  <si>
    <t>4월 Cost 금액</t>
  </si>
  <si>
    <t>iv_cost_m5_amt</t>
  </si>
  <si>
    <t>5월 Cost 금액</t>
  </si>
  <si>
    <t>iv_cost_m6_amt</t>
  </si>
  <si>
    <t>6월 Cost 금액</t>
  </si>
  <si>
    <t>iv_cost_m7_amt</t>
  </si>
  <si>
    <t>7월 Cost 금액</t>
  </si>
  <si>
    <t>iv_cost_m8_amt</t>
  </si>
  <si>
    <t>8월 Cost 금액</t>
  </si>
  <si>
    <t>iv_cost_m9_amt</t>
  </si>
  <si>
    <t>9월 Cost 금액</t>
  </si>
  <si>
    <t>iv_cost_m10_amt</t>
  </si>
  <si>
    <t>10월 Cost 금액</t>
  </si>
  <si>
    <t>iv_cost_m11_amt</t>
  </si>
  <si>
    <t>11월 Cost 금액</t>
  </si>
  <si>
    <t>iv_cost_m12_amt</t>
  </si>
  <si>
    <t>12월 Cost 금액</t>
  </si>
  <si>
    <t>ERP 전송시간</t>
  </si>
  <si>
    <t>SG&amp;A 투자월추정 데이터 관리하는 테이블</t>
    <phoneticPr fontId="1" type="noConversion"/>
  </si>
  <si>
    <t>SG&amp;A 투자 월추정 테이블</t>
    <phoneticPr fontId="1" type="noConversion"/>
  </si>
  <si>
    <t xml:space="preserve">interface table의 month(추정 월) 값 - 1 </t>
  </si>
  <si>
    <t>common.gl_account.code</t>
    <phoneticPr fontId="1" type="noConversion"/>
  </si>
  <si>
    <t>common.commitment_item.code</t>
    <phoneticPr fontId="1" type="noConversion"/>
  </si>
  <si>
    <t>테이블에 맵필할때는 Boolean 값으로 맵핑</t>
    <phoneticPr fontId="1" type="noConversion"/>
  </si>
  <si>
    <t>SG&amp;A 위임비용 테이블</t>
    <phoneticPr fontId="1" type="noConversion"/>
  </si>
  <si>
    <t xml:space="preserve"> 인터페이스 버전</t>
  </si>
  <si>
    <t>C700000</t>
  </si>
  <si>
    <t>co_m1_amt</t>
    <phoneticPr fontId="1" type="noConversion"/>
  </si>
  <si>
    <t>1월 위임비용</t>
    <phoneticPr fontId="1" type="noConversion"/>
  </si>
  <si>
    <t>co_m2_amt</t>
  </si>
  <si>
    <t>2월 위임비용</t>
  </si>
  <si>
    <t>co_m3_amt</t>
  </si>
  <si>
    <t>3월 위임비용</t>
  </si>
  <si>
    <t>co_m4_amt</t>
  </si>
  <si>
    <t>4월 위임비용</t>
  </si>
  <si>
    <t>co_m5_amt</t>
  </si>
  <si>
    <t>5월 위임비용</t>
  </si>
  <si>
    <t>co_m6_amt</t>
  </si>
  <si>
    <t>6월 위임비용</t>
  </si>
  <si>
    <t>co_m7_amt</t>
  </si>
  <si>
    <t>7월 위임비용</t>
  </si>
  <si>
    <t>co_m8_amt</t>
  </si>
  <si>
    <t>8월 위임비용</t>
  </si>
  <si>
    <t>co_m9_amt</t>
  </si>
  <si>
    <t>9월 위임비용</t>
  </si>
  <si>
    <t>co_m10_amt</t>
  </si>
  <si>
    <t>10월 위임비용</t>
  </si>
  <si>
    <t>co_m11_amt</t>
  </si>
  <si>
    <t>11월 위임비용</t>
  </si>
  <si>
    <t>co_m12_amt</t>
  </si>
  <si>
    <t>12월 위임비용</t>
  </si>
  <si>
    <t>SG&amp;A 위임비용 I/F 테이블</t>
    <phoneticPr fontId="1" type="noConversion"/>
  </si>
  <si>
    <t>ERP 예산실적레포트에서 조직별 경비 I/F 받는 테이블</t>
    <phoneticPr fontId="1" type="noConversion"/>
  </si>
  <si>
    <t>exp_m1_amt</t>
    <phoneticPr fontId="1" type="noConversion"/>
  </si>
  <si>
    <t>exp_m2_amt</t>
    <phoneticPr fontId="1" type="noConversion"/>
  </si>
  <si>
    <t>exp_m3_amt</t>
  </si>
  <si>
    <t>exp_m4_amt</t>
  </si>
  <si>
    <t>exp_m5_amt</t>
  </si>
  <si>
    <t>exp_m6_amt</t>
  </si>
  <si>
    <t>exp_m7_amt</t>
  </si>
  <si>
    <t>exp_m8_amt</t>
  </si>
  <si>
    <t>exp_m9_amt</t>
  </si>
  <si>
    <t>exp_m10_amt</t>
  </si>
  <si>
    <t>exp_m11_amt</t>
  </si>
  <si>
    <t>exp_m12_amt</t>
  </si>
  <si>
    <t>shared_exp_yn</t>
    <phoneticPr fontId="1" type="noConversion"/>
  </si>
  <si>
    <t>전사 SG&amp;A 비용 여부</t>
  </si>
  <si>
    <t>PL에서 전사 SG&amp;A 항목에 들어갈 전사공통성(그룹관련) 
경비(건물관리비, 승용차량비 등)의 원가인 경우 체크</t>
    <phoneticPr fontId="1" type="noConversion"/>
  </si>
  <si>
    <t>SG&amp;A 경비월추정 데이터 관리하는 테이블</t>
    <phoneticPr fontId="1" type="noConversion"/>
  </si>
  <si>
    <t>SG&amp;A 경비 월추정 테이블</t>
    <phoneticPr fontId="1" type="noConversion"/>
  </si>
  <si>
    <t>전사 SG&amp;A 비용 여부</t>
    <phoneticPr fontId="1" type="noConversion"/>
  </si>
  <si>
    <t>PL에서 전사 SG&amp;A 항목에 들어갈 전사공통성(그룹관련) 
경비(건물관리비, 승용차량비 등)의 원가인 경우 체크</t>
  </si>
  <si>
    <t>SG&amp;A 경비월추정 View데이터 관리하는 테이블</t>
    <phoneticPr fontId="1" type="noConversion"/>
  </si>
  <si>
    <t>SG&amp;A 경비 월추정 view 테이블</t>
    <phoneticPr fontId="1" type="noConversion"/>
  </si>
  <si>
    <t xml:space="preserve">마감 월 </t>
    <phoneticPr fontId="1" type="noConversion"/>
  </si>
  <si>
    <t xml:space="preserve">interface table의 month(추정 월) 값 - 1 </t>
    <phoneticPr fontId="1" type="noConversion"/>
  </si>
  <si>
    <t>사내간접원가 중계정코드 : 800003</t>
    <phoneticPr fontId="1" type="noConversion"/>
  </si>
  <si>
    <t>exp_amt</t>
    <phoneticPr fontId="1" type="noConversion"/>
  </si>
  <si>
    <t>경비 금액</t>
  </si>
  <si>
    <t>1~12월</t>
    <phoneticPr fontId="1" type="noConversion"/>
  </si>
  <si>
    <t>if_pl</t>
  </si>
  <si>
    <t>자회사 I/F 테이블</t>
  </si>
  <si>
    <t>SC</t>
    <phoneticPr fontId="1" type="noConversion"/>
  </si>
  <si>
    <t>prj_desc</t>
    <phoneticPr fontId="1" type="noConversion"/>
  </si>
  <si>
    <t>자회사에서 조직별 경비 I/F 받는 테이블</t>
    <phoneticPr fontId="1" type="noConversion"/>
  </si>
  <si>
    <t>데이터 제공 연도</t>
  </si>
  <si>
    <t xml:space="preserve">데이터 제공 월 </t>
  </si>
  <si>
    <t xml:space="preserve">ERP Cost Center </t>
  </si>
  <si>
    <t>ERP G/G code</t>
  </si>
  <si>
    <t>ERP Commitment Item Code</t>
  </si>
  <si>
    <t>자회사 SG&amp;A 경비 월추정 데이터 관리하는 테이블</t>
    <phoneticPr fontId="1" type="noConversion"/>
  </si>
  <si>
    <t>자회사 SG&amp;A 경비 월추정 테이블</t>
    <phoneticPr fontId="1" type="noConversion"/>
  </si>
  <si>
    <t>자회사에서 조직별 인건비 I/F 받는 테이블</t>
    <phoneticPr fontId="1" type="noConversion"/>
  </si>
  <si>
    <t>데이터 제공 연도</t>
    <phoneticPr fontId="1" type="noConversion"/>
  </si>
  <si>
    <t xml:space="preserve">데이터 제공 월 </t>
    <phoneticPr fontId="1" type="noConversion"/>
  </si>
  <si>
    <t xml:space="preserve">ERP Cost Center </t>
    <phoneticPr fontId="1" type="noConversion"/>
  </si>
  <si>
    <t>ERP G/G code</t>
    <phoneticPr fontId="1" type="noConversion"/>
  </si>
  <si>
    <t>ERP Commitment Item Code</t>
    <phoneticPr fontId="1" type="noConversion"/>
  </si>
  <si>
    <t>labor_m1_amt</t>
    <phoneticPr fontId="1" type="noConversion"/>
  </si>
  <si>
    <t>1월 인건비 금액</t>
    <phoneticPr fontId="1" type="noConversion"/>
  </si>
  <si>
    <t>2월 인건비 금액</t>
  </si>
  <si>
    <t>3월 인건비 금액</t>
  </si>
  <si>
    <t>4월 인건비 금액</t>
  </si>
  <si>
    <t>5월 인건비 금액</t>
  </si>
  <si>
    <t>6월 인건비 금액</t>
  </si>
  <si>
    <t>7월 인건비 금액</t>
  </si>
  <si>
    <t>8월 인건비 금액</t>
  </si>
  <si>
    <t>9월 인건비 금액</t>
  </si>
  <si>
    <t>10월 인건비 금액</t>
  </si>
  <si>
    <t>11월 인건비 금액</t>
  </si>
  <si>
    <t>12월 인건비 금액</t>
  </si>
  <si>
    <t>자회사 SG&amp;A 인건비 월추정 데이터 관리하는 테이블</t>
    <phoneticPr fontId="1" type="noConversion"/>
  </si>
  <si>
    <t>자회사 SG&amp;A 인건비 월추정 테이블</t>
    <phoneticPr fontId="1" type="noConversion"/>
  </si>
  <si>
    <t>1월 인건비 금액</t>
  </si>
  <si>
    <t>자회사 매출 관리 테이블</t>
    <phoneticPr fontId="1" type="noConversion"/>
  </si>
  <si>
    <t>자회사 매출 장판지 테이블</t>
    <phoneticPr fontId="1" type="noConversion"/>
  </si>
  <si>
    <t>마감 월</t>
  </si>
  <si>
    <t>순번</t>
  </si>
  <si>
    <t>Data 속성</t>
  </si>
  <si>
    <t>S : 자회사</t>
    <phoneticPr fontId="1" type="noConversion"/>
  </si>
  <si>
    <t>자회사 조직별 SG&amp;A 장판지 테이블</t>
    <phoneticPr fontId="1" type="noConversion"/>
  </si>
  <si>
    <t>sga_wideview</t>
    <phoneticPr fontId="1" type="noConversion"/>
  </si>
  <si>
    <t>자회사 SG&amp;A 장판지</t>
    <phoneticPr fontId="1" type="noConversion"/>
  </si>
  <si>
    <t>10955(ICT사업개발1팀)</t>
  </si>
  <si>
    <t>인건비 1월 금액</t>
    <phoneticPr fontId="1" type="noConversion"/>
  </si>
  <si>
    <t>NB</t>
    <phoneticPr fontId="1" type="noConversion"/>
  </si>
  <si>
    <t>labor_m2_amt</t>
    <phoneticPr fontId="1" type="noConversion"/>
  </si>
  <si>
    <t>인건비 2월 금액</t>
  </si>
  <si>
    <t>인건비 3월 금액</t>
  </si>
  <si>
    <t>인건비 4월 금액</t>
  </si>
  <si>
    <t>인건비 5월 금액</t>
  </si>
  <si>
    <t>인건비 6월 금액</t>
  </si>
  <si>
    <t>인건비 7월 금액</t>
  </si>
  <si>
    <t>인건비 8월 금액</t>
  </si>
  <si>
    <t>인건비 9월 금액</t>
  </si>
  <si>
    <t>labor_m10_amt</t>
    <phoneticPr fontId="1" type="noConversion"/>
  </si>
  <si>
    <t>인건비 10월 금액</t>
  </si>
  <si>
    <t>인건비 11월 금액</t>
  </si>
  <si>
    <t>labor_m12_amt</t>
    <phoneticPr fontId="1" type="noConversion"/>
  </si>
  <si>
    <t>인건비 12월 금액</t>
  </si>
  <si>
    <t>경비 1월 금액</t>
    <phoneticPr fontId="1" type="noConversion"/>
  </si>
  <si>
    <t>경비 2월 금액</t>
  </si>
  <si>
    <t>경비 3월 금액</t>
  </si>
  <si>
    <t>경비 4월 금액</t>
  </si>
  <si>
    <t>경비 5월 금액</t>
  </si>
  <si>
    <t>경비 6월 금액</t>
  </si>
  <si>
    <t>경비 7월 금액</t>
  </si>
  <si>
    <t>경비 8월 금액</t>
  </si>
  <si>
    <t>경비 9월 금액</t>
  </si>
  <si>
    <t>경비 10월 금액</t>
  </si>
  <si>
    <t>경비 11월 금액</t>
  </si>
  <si>
    <t>경비 12월 금액</t>
  </si>
  <si>
    <t>PL에서 전사 SG&amp;A 항목에 들어갈 전사공통성(그룹관련) 경비(건물관리비, 승용차량비 등)의 원가인 경우 체크</t>
    <phoneticPr fontId="1" type="noConversion"/>
  </si>
  <si>
    <t>remark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</si>
</sst>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_-"/>
    <numFmt numFmtId="165" formatCode="mm&quot;월&quot;\ dd&quot;일&quot;"/>
  </numFmts>
  <fonts count="6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Arial"/>
      <family val="2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name val="Calibri"/>
      <family val="2"/>
    </font>
    <font>
      <sz val="11"/>
      <color theme="0"/>
      <name val="맑은 고딕"/>
      <family val="2"/>
      <scheme val="minor"/>
    </font>
    <font>
      <sz val="11"/>
      <name val="돋움"/>
      <family val="3"/>
      <charset val="129"/>
    </font>
    <font>
      <sz val="10"/>
      <name val="굴림"/>
      <family val="3"/>
      <charset val="129"/>
    </font>
    <font>
      <b/>
      <sz val="14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</font>
    <font>
      <b/>
      <sz val="14"/>
      <color rgb="FF000000"/>
      <name val="맑은 고딕"/>
      <family val="3"/>
      <charset val="129"/>
    </font>
    <font>
      <sz val="40"/>
      <color theme="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0"/>
      <color rgb="FF000000"/>
      <name val="맑은 고딕"/>
      <family val="3"/>
    </font>
    <font>
      <u/>
      <sz val="11"/>
      <color theme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u/>
      <sz val="11"/>
      <color rgb="FF467886"/>
      <name val="맑은 고딕"/>
      <family val="3"/>
    </font>
    <font>
      <b/>
      <sz val="14"/>
      <name val="맑은 고딕"/>
      <family val="3"/>
    </font>
    <font>
      <sz val="11"/>
      <color rgb="FF0000FF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sz val="11"/>
      <color rgb="FF0066FF"/>
      <name val="맑은 고딕"/>
      <family val="3"/>
      <charset val="129"/>
      <scheme val="minor"/>
    </font>
    <font>
      <sz val="10"/>
      <color rgb="FF0066FF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color rgb="FFFF0000"/>
      <name val="맑은 고딕"/>
      <family val="3"/>
    </font>
    <font>
      <sz val="11"/>
      <color rgb="FF0066FF"/>
      <name val="맑은 고딕"/>
      <family val="3"/>
    </font>
    <font>
      <sz val="11"/>
      <color theme="1"/>
      <name val="맑은 고딕"/>
      <family val="3"/>
      <charset val="129"/>
    </font>
    <font>
      <b/>
      <sz val="11"/>
      <color rgb="FF0066FF"/>
      <name val="맑은 고딕"/>
      <family val="3"/>
      <charset val="129"/>
      <scheme val="minor"/>
    </font>
    <font>
      <strike/>
      <sz val="11"/>
      <color rgb="FF000000"/>
      <name val="맑은 고딕"/>
      <family val="3"/>
      <charset val="129"/>
      <scheme val="minor"/>
    </font>
    <font>
      <strike/>
      <sz val="11"/>
      <color rgb="FF0066FF"/>
      <name val="맑은 고딕"/>
      <family val="3"/>
      <charset val="129"/>
      <scheme val="minor"/>
    </font>
    <font>
      <b/>
      <strike/>
      <sz val="11"/>
      <color rgb="FF0066FF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strike/>
      <sz val="11"/>
      <color rgb="FF0066FF"/>
      <name val="맑은 고딕"/>
      <family val="2"/>
      <scheme val="minor"/>
    </font>
    <font>
      <sz val="10"/>
      <color rgb="FFC00000"/>
      <name val="맑은 고딕"/>
      <family val="3"/>
      <charset val="129"/>
      <scheme val="minor"/>
    </font>
    <font>
      <sz val="11"/>
      <color rgb="FFC00000"/>
      <name val="맑은 고딕"/>
      <family val="3"/>
    </font>
    <font>
      <sz val="11"/>
      <color rgb="FFC00000"/>
      <name val="맑은 고딕"/>
      <family val="3"/>
      <charset val="129"/>
    </font>
    <font>
      <sz val="10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theme="8"/>
      <name val="맑은 고딕"/>
      <family val="3"/>
      <charset val="129"/>
      <scheme val="minor"/>
    </font>
    <font>
      <strike/>
      <sz val="11"/>
      <color rgb="FF0066FF"/>
      <name val="맑은 고딕"/>
      <family val="2"/>
      <charset val="129"/>
      <scheme val="minor"/>
    </font>
    <font>
      <sz val="11"/>
      <color rgb="FF0066FF"/>
      <name val="맑은 고딕"/>
      <family val="2"/>
      <charset val="129"/>
      <scheme val="minor"/>
    </font>
    <font>
      <b/>
      <sz val="14"/>
      <color rgb="FF000000"/>
      <name val="맑은 고딕"/>
      <family val="3"/>
    </font>
    <font>
      <b/>
      <sz val="11"/>
      <color theme="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color rgb="FF0066FF"/>
      <name val="맑은 고딕"/>
      <family val="3"/>
      <charset val="129"/>
    </font>
    <font>
      <sz val="11"/>
      <name val="맑은 고딕"/>
      <family val="3"/>
    </font>
    <font>
      <b/>
      <sz val="11"/>
      <color rgb="FF0066FF"/>
      <name val="맑은 고딕"/>
      <family val="3"/>
      <charset val="129"/>
    </font>
    <font>
      <sz val="11"/>
      <color rgb="FF000000"/>
      <name val="맑은 고딕"/>
      <family val="3"/>
      <scheme val="minor"/>
    </font>
    <font>
      <b/>
      <sz val="11"/>
      <color rgb="FFFF0000"/>
      <name val="맑은 고딕"/>
      <family val="3"/>
    </font>
    <font>
      <b/>
      <strike/>
      <sz val="11"/>
      <color rgb="FF0066FF"/>
      <name val="맑은 고딕"/>
      <family val="3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2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ck">
        <color rgb="FFFF0000"/>
      </left>
      <right style="thin">
        <color rgb="FF000000"/>
      </right>
      <top style="thick">
        <color rgb="FFFF0000"/>
      </top>
      <bottom style="thin">
        <color rgb="FF000000"/>
      </bottom>
      <diagonal/>
    </border>
    <border>
      <left style="thin">
        <color rgb="FF000000"/>
      </left>
      <right style="thick">
        <color rgb="FFFF0000"/>
      </right>
      <top style="thick">
        <color rgb="FFFF0000"/>
      </top>
      <bottom style="thin">
        <color rgb="FF000000"/>
      </bottom>
      <diagonal/>
    </border>
    <border>
      <left style="thick">
        <color rgb="FFFF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FF0000"/>
      </right>
      <top style="thin">
        <color rgb="FF000000"/>
      </top>
      <bottom style="thin">
        <color rgb="FF000000"/>
      </bottom>
      <diagonal/>
    </border>
    <border>
      <left style="thick">
        <color rgb="FFFF0000"/>
      </left>
      <right style="thin">
        <color rgb="FF000000"/>
      </right>
      <top style="thin">
        <color rgb="FF000000"/>
      </top>
      <bottom style="thick">
        <color rgb="FFFF0000"/>
      </bottom>
      <diagonal/>
    </border>
    <border>
      <left style="thin">
        <color rgb="FF000000"/>
      </left>
      <right style="thick">
        <color rgb="FFFF0000"/>
      </right>
      <top style="thin">
        <color rgb="FF000000"/>
      </top>
      <bottom style="thick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3">
    <xf numFmtId="0" fontId="0" fillId="0" borderId="0">
      <alignment vertical="center"/>
    </xf>
    <xf numFmtId="0" fontId="5" fillId="0" borderId="0">
      <alignment vertical="center"/>
    </xf>
    <xf numFmtId="0" fontId="7" fillId="0" borderId="0"/>
    <xf numFmtId="0" fontId="8" fillId="0" borderId="0"/>
    <xf numFmtId="0" fontId="12" fillId="0" borderId="0">
      <alignment vertical="center"/>
    </xf>
    <xf numFmtId="0" fontId="13" fillId="0" borderId="0"/>
    <xf numFmtId="0" fontId="8" fillId="0" borderId="0"/>
    <xf numFmtId="0" fontId="5" fillId="0" borderId="0">
      <alignment vertical="center"/>
    </xf>
    <xf numFmtId="0" fontId="8" fillId="0" borderId="0"/>
    <xf numFmtId="0" fontId="5" fillId="0" borderId="0">
      <alignment vertical="center"/>
    </xf>
    <xf numFmtId="0" fontId="14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/>
    <xf numFmtId="0" fontId="17" fillId="3" borderId="0" applyNumberFormat="0" applyBorder="0" applyAlignment="0" applyProtection="0"/>
    <xf numFmtId="0" fontId="7" fillId="0" borderId="0"/>
    <xf numFmtId="0" fontId="3" fillId="0" borderId="0" applyNumberFormat="0" applyFill="0" applyBorder="0" applyAlignment="0" applyProtection="0"/>
    <xf numFmtId="0" fontId="18" fillId="0" borderId="0">
      <alignment vertical="center"/>
    </xf>
    <xf numFmtId="0" fontId="5" fillId="0" borderId="0">
      <alignment vertical="center"/>
    </xf>
    <xf numFmtId="0" fontId="19" fillId="0" borderId="0">
      <alignment vertical="center"/>
    </xf>
    <xf numFmtId="164" fontId="5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517">
    <xf numFmtId="0" fontId="0" fillId="0" borderId="0" xfId="0">
      <alignment vertical="center"/>
    </xf>
    <xf numFmtId="0" fontId="4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0" fontId="11" fillId="0" borderId="0" xfId="0" applyFont="1">
      <alignment vertical="center"/>
    </xf>
    <xf numFmtId="0" fontId="3" fillId="0" borderId="0" xfId="22" applyFont="1" applyAlignment="1">
      <alignment vertical="center"/>
    </xf>
    <xf numFmtId="0" fontId="11" fillId="0" borderId="0" xfId="0" applyFont="1" applyAlignment="1">
      <alignment vertical="center" wrapText="1"/>
    </xf>
    <xf numFmtId="0" fontId="22" fillId="9" borderId="8" xfId="0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6" borderId="8" xfId="0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22" fillId="9" borderId="17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18" xfId="0" applyFont="1" applyFill="1" applyBorder="1" applyAlignment="1">
      <alignment horizontal="center" vertical="center"/>
    </xf>
    <xf numFmtId="0" fontId="22" fillId="9" borderId="19" xfId="0" applyFont="1" applyFill="1" applyBorder="1" applyAlignment="1">
      <alignment horizontal="center" vertical="center"/>
    </xf>
    <xf numFmtId="0" fontId="22" fillId="7" borderId="8" xfId="0" applyFont="1" applyFill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9" borderId="17" xfId="0" applyFont="1" applyFill="1" applyBorder="1">
      <alignment vertical="center"/>
    </xf>
    <xf numFmtId="0" fontId="24" fillId="0" borderId="8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2" fillId="9" borderId="10" xfId="0" applyFont="1" applyFill="1" applyBorder="1" applyAlignment="1">
      <alignment horizontal="center" vertical="center"/>
    </xf>
    <xf numFmtId="0" fontId="11" fillId="7" borderId="13" xfId="0" applyFont="1" applyFill="1" applyBorder="1" applyAlignment="1">
      <alignment horizontal="center" vertical="center" wrapText="1"/>
    </xf>
    <xf numFmtId="0" fontId="11" fillId="7" borderId="8" xfId="0" applyFont="1" applyFill="1" applyBorder="1" applyAlignment="1">
      <alignment horizontal="center" vertical="center" wrapText="1"/>
    </xf>
    <xf numFmtId="0" fontId="11" fillId="7" borderId="8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 wrapText="1"/>
    </xf>
    <xf numFmtId="3" fontId="22" fillId="0" borderId="8" xfId="0" applyNumberFormat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11" borderId="8" xfId="0" applyFont="1" applyFill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3" fontId="22" fillId="0" borderId="14" xfId="0" applyNumberFormat="1" applyFon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0" fontId="22" fillId="7" borderId="14" xfId="0" applyFont="1" applyFill="1" applyBorder="1" applyAlignment="1">
      <alignment horizontal="center" vertical="center"/>
    </xf>
    <xf numFmtId="0" fontId="24" fillId="7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8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/>
    </xf>
    <xf numFmtId="3" fontId="22" fillId="7" borderId="8" xfId="0" applyNumberFormat="1" applyFont="1" applyFill="1" applyBorder="1" applyAlignment="1">
      <alignment horizontal="center" vertical="center"/>
    </xf>
    <xf numFmtId="0" fontId="22" fillId="7" borderId="8" xfId="0" applyFont="1" applyFill="1" applyBorder="1" applyAlignment="1">
      <alignment horizontal="center" vertical="center" wrapText="1"/>
    </xf>
    <xf numFmtId="0" fontId="22" fillId="7" borderId="8" xfId="0" applyFont="1" applyFill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21" fillId="0" borderId="13" xfId="0" applyFont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21" fillId="6" borderId="8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24" fillId="10" borderId="21" xfId="0" applyFont="1" applyFill="1" applyBorder="1" applyAlignment="1">
      <alignment horizontal="center" vertical="center"/>
    </xf>
    <xf numFmtId="0" fontId="11" fillId="0" borderId="22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2" fillId="0" borderId="11" xfId="0" applyFont="1" applyBorder="1" applyAlignment="1">
      <alignment horizontal="center"/>
    </xf>
    <xf numFmtId="0" fontId="22" fillId="7" borderId="1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23" fillId="7" borderId="8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4" fillId="6" borderId="8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24" fillId="10" borderId="8" xfId="0" applyFont="1" applyFill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2" borderId="11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22" fillId="13" borderId="8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3" fontId="22" fillId="0" borderId="8" xfId="0" quotePrefix="1" applyNumberFormat="1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22" fillId="7" borderId="10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4" fillId="0" borderId="1" xfId="0" applyFont="1" applyBorder="1">
      <alignment vertical="center"/>
    </xf>
    <xf numFmtId="0" fontId="11" fillId="0" borderId="2" xfId="0" applyFont="1" applyBorder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4" fillId="0" borderId="14" xfId="0" applyFont="1" applyBorder="1" applyAlignment="1">
      <alignment horizontal="center" vertical="center"/>
    </xf>
    <xf numFmtId="0" fontId="11" fillId="0" borderId="1" xfId="0" applyFont="1" applyBorder="1" applyAlignment="1"/>
    <xf numFmtId="0" fontId="11" fillId="0" borderId="2" xfId="0" applyFont="1" applyBorder="1" applyAlignment="1"/>
    <xf numFmtId="0" fontId="4" fillId="0" borderId="1" xfId="0" applyFont="1" applyBorder="1" applyAlignment="1"/>
    <xf numFmtId="0" fontId="4" fillId="0" borderId="0" xfId="0" applyFont="1" applyAlignment="1"/>
    <xf numFmtId="0" fontId="11" fillId="0" borderId="0" xfId="0" applyFont="1" applyAlignment="1"/>
    <xf numFmtId="0" fontId="4" fillId="0" borderId="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22" fillId="9" borderId="26" xfId="0" applyFont="1" applyFill="1" applyBorder="1" applyAlignment="1">
      <alignment horizontal="center" vertical="center"/>
    </xf>
    <xf numFmtId="0" fontId="22" fillId="9" borderId="27" xfId="0" applyFont="1" applyFill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164" fontId="24" fillId="0" borderId="2" xfId="2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22" fillId="0" borderId="0" xfId="0" applyFont="1" applyAlignment="1">
      <alignment horizontal="left" vertical="center" wrapText="1"/>
    </xf>
    <xf numFmtId="47" fontId="22" fillId="0" borderId="8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8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/>
    </xf>
    <xf numFmtId="0" fontId="0" fillId="6" borderId="6" xfId="0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left"/>
    </xf>
    <xf numFmtId="0" fontId="11" fillId="0" borderId="1" xfId="0" applyFont="1" applyBorder="1" applyAlignment="1">
      <alignment horizontal="left" vertical="center" wrapText="1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vertical="center" wrapText="1"/>
    </xf>
    <xf numFmtId="0" fontId="28" fillId="0" borderId="1" xfId="0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/>
    </xf>
    <xf numFmtId="3" fontId="11" fillId="7" borderId="8" xfId="0" applyNumberFormat="1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 wrapText="1"/>
    </xf>
    <xf numFmtId="3" fontId="11" fillId="0" borderId="8" xfId="0" applyNumberFormat="1" applyFont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 wrapText="1"/>
    </xf>
    <xf numFmtId="0" fontId="11" fillId="7" borderId="13" xfId="0" applyFont="1" applyFill="1" applyBorder="1" applyAlignment="1">
      <alignment horizontal="center" vertical="center"/>
    </xf>
    <xf numFmtId="3" fontId="11" fillId="0" borderId="13" xfId="0" applyNumberFormat="1" applyFont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14" fillId="0" borderId="0" xfId="0" applyFont="1">
      <alignment vertical="center"/>
    </xf>
    <xf numFmtId="0" fontId="24" fillId="0" borderId="3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0" fontId="22" fillId="4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/>
    </xf>
    <xf numFmtId="0" fontId="11" fillId="4" borderId="10" xfId="0" applyFont="1" applyFill="1" applyBorder="1" applyAlignment="1">
      <alignment horizontal="center" vertical="center"/>
    </xf>
    <xf numFmtId="0" fontId="23" fillId="4" borderId="8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1" fillId="0" borderId="8" xfId="0" applyFont="1" applyBorder="1" applyAlignment="1">
      <alignment horizontal="left" vertical="center"/>
    </xf>
    <xf numFmtId="0" fontId="14" fillId="0" borderId="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28" fillId="7" borderId="8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22" fillId="0" borderId="1" xfId="0" applyFont="1" applyBorder="1" applyAlignment="1">
      <alignment horizontal="center" vertical="center"/>
    </xf>
    <xf numFmtId="0" fontId="22" fillId="0" borderId="8" xfId="0" applyFont="1" applyBorder="1" applyAlignment="1">
      <alignment horizontal="left" vertical="center"/>
    </xf>
    <xf numFmtId="0" fontId="28" fillId="0" borderId="1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11" fillId="0" borderId="14" xfId="0" quotePrefix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8" xfId="0" quotePrefix="1" applyFont="1" applyBorder="1" applyAlignment="1">
      <alignment horizontal="center" vertical="center"/>
    </xf>
    <xf numFmtId="0" fontId="11" fillId="0" borderId="30" xfId="0" quotePrefix="1" applyFont="1" applyBorder="1" applyAlignment="1">
      <alignment horizontal="center" vertical="center" wrapText="1"/>
    </xf>
    <xf numFmtId="3" fontId="22" fillId="0" borderId="30" xfId="0" applyNumberFormat="1" applyFont="1" applyBorder="1" applyAlignment="1">
      <alignment horizontal="center" vertical="center"/>
    </xf>
    <xf numFmtId="0" fontId="31" fillId="0" borderId="0" xfId="0" applyFont="1">
      <alignment vertical="center"/>
    </xf>
    <xf numFmtId="0" fontId="22" fillId="7" borderId="0" xfId="0" applyFont="1" applyFill="1" applyAlignment="1">
      <alignment horizontal="center" vertical="center"/>
    </xf>
    <xf numFmtId="0" fontId="0" fillId="0" borderId="8" xfId="0" applyBorder="1" applyAlignment="1">
      <alignment horizontal="left" vertical="center" wrapText="1"/>
    </xf>
    <xf numFmtId="0" fontId="22" fillId="9" borderId="1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3" fontId="11" fillId="0" borderId="1" xfId="0" applyNumberFormat="1" applyFont="1" applyBorder="1" applyAlignment="1">
      <alignment horizontal="center" vertical="center"/>
    </xf>
    <xf numFmtId="3" fontId="22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2" fillId="0" borderId="1" xfId="0" applyFont="1" applyBorder="1" applyAlignment="1">
      <alignment horizontal="center"/>
    </xf>
    <xf numFmtId="0" fontId="28" fillId="0" borderId="0" xfId="0" applyFont="1">
      <alignment vertical="center"/>
    </xf>
    <xf numFmtId="0" fontId="32" fillId="0" borderId="0" xfId="0" applyFont="1">
      <alignment vertical="center"/>
    </xf>
    <xf numFmtId="0" fontId="24" fillId="0" borderId="0" xfId="0" applyFont="1">
      <alignment vertical="center"/>
    </xf>
    <xf numFmtId="0" fontId="28" fillId="0" borderId="0" xfId="0" applyFont="1" applyAlignment="1">
      <alignment vertical="center" wrapText="1"/>
    </xf>
    <xf numFmtId="0" fontId="24" fillId="9" borderId="18" xfId="0" applyFont="1" applyFill="1" applyBorder="1">
      <alignment vertical="center"/>
    </xf>
    <xf numFmtId="0" fontId="24" fillId="9" borderId="33" xfId="0" applyFont="1" applyFill="1" applyBorder="1">
      <alignment vertical="center"/>
    </xf>
    <xf numFmtId="0" fontId="24" fillId="9" borderId="0" xfId="0" applyFont="1" applyFill="1">
      <alignment vertical="center"/>
    </xf>
    <xf numFmtId="0" fontId="24" fillId="9" borderId="14" xfId="0" applyFont="1" applyFill="1" applyBorder="1">
      <alignment vertical="center"/>
    </xf>
    <xf numFmtId="0" fontId="24" fillId="9" borderId="16" xfId="0" applyFont="1" applyFill="1" applyBorder="1">
      <alignment vertical="center"/>
    </xf>
    <xf numFmtId="0" fontId="24" fillId="0" borderId="8" xfId="0" applyFont="1" applyBorder="1">
      <alignment vertical="center"/>
    </xf>
    <xf numFmtId="0" fontId="24" fillId="0" borderId="34" xfId="0" applyFont="1" applyBorder="1">
      <alignment vertical="center"/>
    </xf>
    <xf numFmtId="0" fontId="28" fillId="10" borderId="34" xfId="0" applyFont="1" applyFill="1" applyBorder="1">
      <alignment vertical="center"/>
    </xf>
    <xf numFmtId="0" fontId="28" fillId="0" borderId="33" xfId="0" applyFont="1" applyBorder="1">
      <alignment vertical="center"/>
    </xf>
    <xf numFmtId="0" fontId="24" fillId="0" borderId="0" xfId="0" applyFont="1" applyAlignment="1">
      <alignment vertical="center" wrapText="1"/>
    </xf>
    <xf numFmtId="0" fontId="28" fillId="0" borderId="11" xfId="0" applyFont="1" applyBorder="1" applyAlignment="1">
      <alignment vertical="center" wrapText="1"/>
    </xf>
    <xf numFmtId="0" fontId="35" fillId="0" borderId="0" xfId="0" applyFont="1">
      <alignment vertical="center"/>
    </xf>
    <xf numFmtId="0" fontId="34" fillId="4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/>
    </xf>
    <xf numFmtId="0" fontId="37" fillId="0" borderId="8" xfId="0" applyFont="1" applyBorder="1" applyAlignment="1">
      <alignment horizontal="center" vertical="center"/>
    </xf>
    <xf numFmtId="3" fontId="36" fillId="0" borderId="8" xfId="0" applyNumberFormat="1" applyFont="1" applyBorder="1" applyAlignment="1">
      <alignment horizontal="center" vertical="center"/>
    </xf>
    <xf numFmtId="0" fontId="36" fillId="0" borderId="18" xfId="0" applyFont="1" applyBorder="1" applyAlignment="1">
      <alignment horizontal="left" vertical="center"/>
    </xf>
    <xf numFmtId="0" fontId="36" fillId="0" borderId="8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0" fillId="0" borderId="11" xfId="0" applyBorder="1">
      <alignment vertical="center"/>
    </xf>
    <xf numFmtId="0" fontId="0" fillId="0" borderId="13" xfId="0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14" fillId="0" borderId="8" xfId="0" applyFont="1" applyBorder="1" applyAlignment="1">
      <alignment horizontal="left" vertical="center" wrapText="1"/>
    </xf>
    <xf numFmtId="0" fontId="0" fillId="0" borderId="34" xfId="0" applyBorder="1">
      <alignment vertical="center"/>
    </xf>
    <xf numFmtId="0" fontId="22" fillId="0" borderId="18" xfId="0" applyFont="1" applyBorder="1" applyAlignment="1">
      <alignment horizontal="center" vertical="center" wrapText="1"/>
    </xf>
    <xf numFmtId="3" fontId="22" fillId="0" borderId="1" xfId="0" quotePrefix="1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left" vertical="center" wrapText="1"/>
    </xf>
    <xf numFmtId="0" fontId="39" fillId="0" borderId="8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39" fillId="0" borderId="8" xfId="0" applyFont="1" applyBorder="1" applyAlignment="1">
      <alignment horizontal="center"/>
    </xf>
    <xf numFmtId="0" fontId="36" fillId="0" borderId="8" xfId="0" applyFont="1" applyBorder="1">
      <alignment vertical="center"/>
    </xf>
    <xf numFmtId="0" fontId="36" fillId="0" borderId="8" xfId="0" applyFont="1" applyBorder="1" applyAlignment="1">
      <alignment vertical="center" wrapText="1"/>
    </xf>
    <xf numFmtId="0" fontId="4" fillId="0" borderId="2" xfId="0" applyFont="1" applyBorder="1" applyAlignment="1"/>
    <xf numFmtId="0" fontId="10" fillId="0" borderId="0" xfId="22" applyFont="1" applyBorder="1" applyAlignment="1">
      <alignment vertical="center"/>
    </xf>
    <xf numFmtId="0" fontId="40" fillId="0" borderId="34" xfId="0" applyFont="1" applyBorder="1">
      <alignment vertical="center"/>
    </xf>
    <xf numFmtId="0" fontId="27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10" fillId="0" borderId="0" xfId="0" applyFont="1">
      <alignment vertical="center"/>
    </xf>
    <xf numFmtId="3" fontId="10" fillId="0" borderId="8" xfId="0" applyNumberFormat="1" applyFont="1" applyBorder="1" applyAlignment="1">
      <alignment horizontal="center" vertical="center"/>
    </xf>
    <xf numFmtId="0" fontId="39" fillId="0" borderId="0" xfId="0" applyFont="1">
      <alignment vertical="center"/>
    </xf>
    <xf numFmtId="3" fontId="39" fillId="0" borderId="8" xfId="0" applyNumberFormat="1" applyFont="1" applyBorder="1" applyAlignment="1">
      <alignment horizontal="center" vertical="center"/>
    </xf>
    <xf numFmtId="0" fontId="37" fillId="0" borderId="0" xfId="0" applyFont="1">
      <alignment vertical="center"/>
    </xf>
    <xf numFmtId="0" fontId="36" fillId="0" borderId="0" xfId="0" applyFont="1">
      <alignment vertical="center"/>
    </xf>
    <xf numFmtId="0" fontId="28" fillId="0" borderId="5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8" fillId="10" borderId="21" xfId="0" applyFont="1" applyFill="1" applyBorder="1" applyAlignment="1">
      <alignment horizontal="center" vertical="center"/>
    </xf>
    <xf numFmtId="0" fontId="28" fillId="10" borderId="8" xfId="0" applyFont="1" applyFill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2" fillId="0" borderId="12" xfId="0" applyFont="1" applyBorder="1" applyAlignment="1">
      <alignment horizontal="center" vertical="center"/>
    </xf>
    <xf numFmtId="0" fontId="14" fillId="0" borderId="8" xfId="0" applyFont="1" applyBorder="1">
      <alignment vertical="center"/>
    </xf>
    <xf numFmtId="0" fontId="14" fillId="0" borderId="8" xfId="0" applyFont="1" applyBorder="1" applyAlignment="1">
      <alignment vertical="center" wrapText="1"/>
    </xf>
    <xf numFmtId="0" fontId="14" fillId="0" borderId="18" xfId="0" applyFont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3" fontId="22" fillId="7" borderId="1" xfId="0" applyNumberFormat="1" applyFont="1" applyFill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 wrapText="1"/>
    </xf>
    <xf numFmtId="0" fontId="15" fillId="0" borderId="0" xfId="22" applyAlignment="1">
      <alignment vertical="center"/>
    </xf>
    <xf numFmtId="3" fontId="22" fillId="0" borderId="0" xfId="0" applyNumberFormat="1" applyFont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 wrapText="1"/>
    </xf>
    <xf numFmtId="0" fontId="45" fillId="0" borderId="8" xfId="0" applyFont="1" applyBorder="1" applyAlignment="1">
      <alignment horizontal="center" vertical="center"/>
    </xf>
    <xf numFmtId="0" fontId="39" fillId="0" borderId="8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 wrapText="1"/>
    </xf>
    <xf numFmtId="0" fontId="28" fillId="10" borderId="34" xfId="0" applyFont="1" applyFill="1" applyBorder="1" applyAlignment="1">
      <alignment horizontal="center" vertical="center" wrapText="1"/>
    </xf>
    <xf numFmtId="0" fontId="28" fillId="0" borderId="34" xfId="0" applyFont="1" applyBorder="1" applyAlignment="1">
      <alignment horizontal="center" vertical="center"/>
    </xf>
    <xf numFmtId="0" fontId="28" fillId="10" borderId="34" xfId="0" applyFont="1" applyFill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15" fillId="0" borderId="0" xfId="22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4" fillId="9" borderId="8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0" fontId="46" fillId="0" borderId="8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8" fillId="0" borderId="8" xfId="2" applyFont="1" applyBorder="1" applyAlignment="1">
      <alignment horizontal="center"/>
    </xf>
    <xf numFmtId="0" fontId="45" fillId="0" borderId="8" xfId="2" applyFont="1" applyBorder="1" applyAlignment="1">
      <alignment horizontal="center"/>
    </xf>
    <xf numFmtId="0" fontId="49" fillId="0" borderId="13" xfId="0" applyFont="1" applyBorder="1" applyAlignment="1">
      <alignment horizontal="center" vertical="center" wrapText="1"/>
    </xf>
    <xf numFmtId="0" fontId="49" fillId="0" borderId="13" xfId="0" applyFont="1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51" fillId="0" borderId="34" xfId="0" applyFont="1" applyBorder="1" applyAlignment="1">
      <alignment horizontal="center" vertical="center" wrapText="1"/>
    </xf>
    <xf numFmtId="0" fontId="51" fillId="0" borderId="34" xfId="0" applyFont="1" applyBorder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 wrapText="1"/>
    </xf>
    <xf numFmtId="0" fontId="4" fillId="10" borderId="8" xfId="0" applyFont="1" applyFill="1" applyBorder="1" applyAlignment="1">
      <alignment horizontal="center" vertical="center" wrapText="1"/>
    </xf>
    <xf numFmtId="0" fontId="31" fillId="0" borderId="8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 wrapText="1"/>
    </xf>
    <xf numFmtId="0" fontId="22" fillId="11" borderId="8" xfId="0" applyFont="1" applyFill="1" applyBorder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45" fillId="0" borderId="1" xfId="22" applyFont="1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/>
    </xf>
    <xf numFmtId="0" fontId="43" fillId="7" borderId="8" xfId="0" applyFont="1" applyFill="1" applyBorder="1" applyAlignment="1">
      <alignment horizontal="center" vertical="center"/>
    </xf>
    <xf numFmtId="0" fontId="43" fillId="7" borderId="8" xfId="0" applyFont="1" applyFill="1" applyBorder="1" applyAlignment="1">
      <alignment horizontal="center" vertical="center" wrapText="1"/>
    </xf>
    <xf numFmtId="0" fontId="31" fillId="0" borderId="10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45" fillId="0" borderId="1" xfId="22" applyFont="1" applyBorder="1" applyAlignment="1">
      <alignment horizontal="center" vertical="center"/>
    </xf>
    <xf numFmtId="0" fontId="31" fillId="7" borderId="8" xfId="0" applyFont="1" applyFill="1" applyBorder="1" applyAlignment="1">
      <alignment horizontal="center" vertical="center"/>
    </xf>
    <xf numFmtId="3" fontId="31" fillId="7" borderId="8" xfId="0" applyNumberFormat="1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55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55" fillId="0" borderId="1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/>
    </xf>
    <xf numFmtId="3" fontId="10" fillId="0" borderId="1" xfId="0" applyNumberFormat="1" applyFont="1" applyBorder="1" applyAlignment="1">
      <alignment horizontal="center" vertical="center"/>
    </xf>
    <xf numFmtId="3" fontId="39" fillId="0" borderId="1" xfId="0" applyNumberFormat="1" applyFont="1" applyBorder="1" applyAlignment="1">
      <alignment horizontal="center" vertical="center"/>
    </xf>
    <xf numFmtId="0" fontId="39" fillId="0" borderId="1" xfId="0" applyFont="1" applyBorder="1">
      <alignment vertical="center"/>
    </xf>
    <xf numFmtId="0" fontId="3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3" fontId="39" fillId="7" borderId="1" xfId="0" applyNumberFormat="1" applyFont="1" applyFill="1" applyBorder="1" applyAlignment="1">
      <alignment horizontal="center" vertical="center"/>
    </xf>
    <xf numFmtId="0" fontId="55" fillId="0" borderId="8" xfId="0" applyFont="1" applyBorder="1" applyAlignment="1">
      <alignment horizontal="center" vertical="center"/>
    </xf>
    <xf numFmtId="0" fontId="55" fillId="0" borderId="9" xfId="0" applyFont="1" applyBorder="1" applyAlignment="1">
      <alignment horizontal="center" vertical="center"/>
    </xf>
    <xf numFmtId="0" fontId="39" fillId="11" borderId="8" xfId="0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7" borderId="13" xfId="0" applyFont="1" applyFill="1" applyBorder="1" applyAlignment="1">
      <alignment horizontal="center" vertical="center"/>
    </xf>
    <xf numFmtId="3" fontId="11" fillId="7" borderId="13" xfId="0" applyNumberFormat="1" applyFont="1" applyFill="1" applyBorder="1" applyAlignment="1">
      <alignment horizontal="center" vertical="center"/>
    </xf>
    <xf numFmtId="0" fontId="36" fillId="4" borderId="8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left" vertical="center" wrapText="1"/>
    </xf>
    <xf numFmtId="0" fontId="10" fillId="0" borderId="13" xfId="0" applyFont="1" applyBorder="1" applyAlignment="1">
      <alignment horizontal="left" vertical="center" wrapText="1"/>
    </xf>
    <xf numFmtId="0" fontId="10" fillId="0" borderId="13" xfId="0" applyFont="1" applyBorder="1" applyAlignment="1">
      <alignment horizontal="left" vertical="center"/>
    </xf>
    <xf numFmtId="3" fontId="11" fillId="0" borderId="8" xfId="0" applyNumberFormat="1" applyFont="1" applyBorder="1" applyAlignment="1">
      <alignment horizontal="left" vertical="center"/>
    </xf>
    <xf numFmtId="0" fontId="11" fillId="0" borderId="17" xfId="0" applyFont="1" applyBorder="1" applyAlignment="1">
      <alignment horizontal="center" vertical="center"/>
    </xf>
    <xf numFmtId="0" fontId="11" fillId="0" borderId="10" xfId="0" applyFont="1" applyBorder="1" applyAlignment="1">
      <alignment horizontal="left" vertical="center" wrapText="1"/>
    </xf>
    <xf numFmtId="0" fontId="11" fillId="0" borderId="10" xfId="0" applyFont="1" applyBorder="1" applyAlignment="1">
      <alignment horizontal="center" vertical="center"/>
    </xf>
    <xf numFmtId="0" fontId="0" fillId="0" borderId="10" xfId="0" applyBorder="1">
      <alignment vertical="center"/>
    </xf>
    <xf numFmtId="0" fontId="4" fillId="0" borderId="19" xfId="0" applyFont="1" applyBorder="1">
      <alignment vertical="center"/>
    </xf>
    <xf numFmtId="0" fontId="55" fillId="0" borderId="34" xfId="0" applyFont="1" applyBorder="1">
      <alignment vertical="center"/>
    </xf>
    <xf numFmtId="0" fontId="55" fillId="0" borderId="34" xfId="0" applyFont="1" applyBorder="1" applyAlignment="1">
      <alignment vertical="center" wrapText="1"/>
    </xf>
    <xf numFmtId="0" fontId="56" fillId="10" borderId="34" xfId="0" applyFont="1" applyFill="1" applyBorder="1" applyAlignment="1">
      <alignment vertical="center" wrapText="1"/>
    </xf>
    <xf numFmtId="0" fontId="57" fillId="0" borderId="1" xfId="0" applyFont="1" applyBorder="1" applyAlignment="1">
      <alignment horizontal="center" vertical="center"/>
    </xf>
    <xf numFmtId="0" fontId="57" fillId="0" borderId="1" xfId="0" applyFont="1" applyBorder="1">
      <alignment vertical="center"/>
    </xf>
    <xf numFmtId="3" fontId="22" fillId="7" borderId="13" xfId="0" applyNumberFormat="1" applyFont="1" applyFill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38" fillId="0" borderId="0" xfId="0" applyFont="1">
      <alignment vertical="center"/>
    </xf>
    <xf numFmtId="0" fontId="0" fillId="0" borderId="8" xfId="2" applyFont="1" applyBorder="1" applyAlignment="1">
      <alignment horizontal="center"/>
    </xf>
    <xf numFmtId="0" fontId="58" fillId="0" borderId="8" xfId="2" applyFont="1" applyBorder="1" applyAlignment="1">
      <alignment horizontal="center"/>
    </xf>
    <xf numFmtId="0" fontId="59" fillId="0" borderId="1" xfId="0" applyFont="1" applyBorder="1" applyAlignment="1">
      <alignment horizontal="center" vertical="center"/>
    </xf>
    <xf numFmtId="0" fontId="44" fillId="0" borderId="8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53" fillId="0" borderId="0" xfId="0" applyFont="1">
      <alignment vertical="center"/>
    </xf>
    <xf numFmtId="0" fontId="15" fillId="0" borderId="0" xfId="22">
      <alignment vertical="center"/>
    </xf>
    <xf numFmtId="0" fontId="11" fillId="0" borderId="10" xfId="0" applyFont="1" applyBorder="1" applyAlignment="1">
      <alignment horizontal="center" vertical="center" wrapText="1"/>
    </xf>
    <xf numFmtId="165" fontId="22" fillId="0" borderId="10" xfId="0" quotePrefix="1" applyNumberFormat="1" applyFont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0" fontId="45" fillId="0" borderId="14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45" fillId="0" borderId="1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/>
    </xf>
    <xf numFmtId="0" fontId="0" fillId="6" borderId="0" xfId="0" applyFill="1">
      <alignment vertical="center"/>
    </xf>
    <xf numFmtId="0" fontId="0" fillId="6" borderId="14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45" fillId="0" borderId="6" xfId="22" applyFont="1" applyBorder="1" applyAlignment="1">
      <alignment horizontal="center" vertical="center"/>
    </xf>
    <xf numFmtId="0" fontId="45" fillId="0" borderId="9" xfId="22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3" fontId="36" fillId="0" borderId="1" xfId="0" applyNumberFormat="1" applyFont="1" applyBorder="1" applyAlignment="1">
      <alignment horizontal="center" vertical="center"/>
    </xf>
    <xf numFmtId="0" fontId="10" fillId="0" borderId="0" xfId="0" applyFont="1" applyAlignment="1"/>
    <xf numFmtId="0" fontId="62" fillId="0" borderId="8" xfId="0" applyFont="1" applyBorder="1" applyAlignment="1">
      <alignment horizontal="center" vertical="center"/>
    </xf>
    <xf numFmtId="0" fontId="62" fillId="0" borderId="8" xfId="0" applyFont="1" applyBorder="1" applyAlignment="1">
      <alignment horizontal="center"/>
    </xf>
    <xf numFmtId="0" fontId="61" fillId="0" borderId="8" xfId="0" applyFont="1" applyBorder="1" applyAlignment="1">
      <alignment horizontal="center" vertical="center"/>
    </xf>
    <xf numFmtId="0" fontId="62" fillId="0" borderId="1" xfId="0" applyFont="1" applyBorder="1" applyAlignment="1">
      <alignment horizontal="center"/>
    </xf>
    <xf numFmtId="0" fontId="22" fillId="0" borderId="19" xfId="0" applyFont="1" applyBorder="1" applyAlignment="1">
      <alignment horizontal="center" vertical="center"/>
    </xf>
    <xf numFmtId="0" fontId="63" fillId="0" borderId="8" xfId="0" applyFont="1" applyBorder="1" applyAlignment="1">
      <alignment horizontal="center" vertical="center"/>
    </xf>
    <xf numFmtId="3" fontId="37" fillId="0" borderId="8" xfId="0" applyNumberFormat="1" applyFont="1" applyBorder="1" applyAlignment="1">
      <alignment horizontal="left" vertical="center"/>
    </xf>
    <xf numFmtId="0" fontId="37" fillId="0" borderId="13" xfId="0" applyFont="1" applyBorder="1" applyAlignment="1">
      <alignment horizontal="left" vertical="center"/>
    </xf>
    <xf numFmtId="0" fontId="37" fillId="0" borderId="8" xfId="0" applyFont="1" applyBorder="1" applyAlignment="1">
      <alignment horizontal="left" vertical="center"/>
    </xf>
    <xf numFmtId="0" fontId="63" fillId="0" borderId="13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0" fontId="64" fillId="0" borderId="1" xfId="0" applyFont="1" applyBorder="1" applyAlignment="1">
      <alignment horizontal="center" vertical="center"/>
    </xf>
    <xf numFmtId="0" fontId="4" fillId="0" borderId="13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 wrapText="1"/>
    </xf>
    <xf numFmtId="0" fontId="21" fillId="0" borderId="0" xfId="0" applyFont="1">
      <alignment vertical="center"/>
    </xf>
    <xf numFmtId="0" fontId="21" fillId="0" borderId="8" xfId="0" applyFont="1" applyBorder="1" applyAlignment="1">
      <alignment vertical="center" wrapText="1"/>
    </xf>
    <xf numFmtId="0" fontId="21" fillId="0" borderId="8" xfId="0" applyFont="1" applyBorder="1" applyAlignment="1">
      <alignment horizontal="center" vertical="center" wrapText="1"/>
    </xf>
    <xf numFmtId="0" fontId="65" fillId="0" borderId="8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12" borderId="13" xfId="0" applyFont="1" applyFill="1" applyBorder="1" applyAlignment="1">
      <alignment horizontal="center" vertical="center"/>
    </xf>
    <xf numFmtId="0" fontId="63" fillId="0" borderId="8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63" fillId="0" borderId="1" xfId="0" applyFont="1" applyBorder="1" applyAlignment="1">
      <alignment horizontal="center" vertical="center" wrapText="1"/>
    </xf>
    <xf numFmtId="0" fontId="21" fillId="0" borderId="34" xfId="0" applyFont="1" applyBorder="1" applyAlignment="1">
      <alignment vertical="center" wrapText="1"/>
    </xf>
    <xf numFmtId="0" fontId="63" fillId="0" borderId="1" xfId="0" applyFont="1" applyBorder="1" applyAlignment="1">
      <alignment horizontal="center" vertical="center"/>
    </xf>
    <xf numFmtId="0" fontId="63" fillId="0" borderId="9" xfId="0" applyFont="1" applyBorder="1" applyAlignment="1">
      <alignment horizontal="center" vertical="center"/>
    </xf>
    <xf numFmtId="0" fontId="65" fillId="0" borderId="13" xfId="0" applyFont="1" applyBorder="1" applyAlignment="1">
      <alignment horizontal="center" vertical="center" wrapText="1"/>
    </xf>
    <xf numFmtId="0" fontId="65" fillId="0" borderId="14" xfId="0" applyFont="1" applyBorder="1" applyAlignment="1">
      <alignment horizontal="center" vertical="center" wrapText="1"/>
    </xf>
    <xf numFmtId="0" fontId="21" fillId="0" borderId="14" xfId="0" applyFont="1" applyBorder="1" applyAlignment="1">
      <alignment vertical="center" wrapText="1"/>
    </xf>
    <xf numFmtId="0" fontId="55" fillId="0" borderId="13" xfId="0" applyFont="1" applyBorder="1" applyAlignment="1">
      <alignment horizontal="center" vertical="center"/>
    </xf>
    <xf numFmtId="0" fontId="55" fillId="0" borderId="8" xfId="0" applyFont="1" applyBorder="1">
      <alignment vertical="center"/>
    </xf>
    <xf numFmtId="0" fontId="55" fillId="0" borderId="8" xfId="0" applyFont="1" applyBorder="1" applyAlignment="1">
      <alignment horizontal="center" vertical="center" wrapText="1"/>
    </xf>
    <xf numFmtId="0" fontId="55" fillId="0" borderId="13" xfId="0" applyFont="1" applyBorder="1" applyAlignment="1">
      <alignment horizontal="center" vertical="center" wrapText="1"/>
    </xf>
    <xf numFmtId="0" fontId="55" fillId="0" borderId="1" xfId="0" applyFont="1" applyBorder="1" applyAlignment="1">
      <alignment horizontal="center" vertical="center" wrapText="1"/>
    </xf>
    <xf numFmtId="0" fontId="55" fillId="0" borderId="9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0" fontId="22" fillId="0" borderId="8" xfId="0" applyFont="1" applyBorder="1">
      <alignment vertical="center"/>
    </xf>
    <xf numFmtId="0" fontId="66" fillId="0" borderId="8" xfId="0" applyFont="1" applyBorder="1" applyAlignment="1">
      <alignment horizontal="center" vertical="center"/>
    </xf>
    <xf numFmtId="0" fontId="24" fillId="13" borderId="8" xfId="0" applyFont="1" applyFill="1" applyBorder="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0" fontId="68" fillId="6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 wrapText="1"/>
    </xf>
    <xf numFmtId="0" fontId="10" fillId="0" borderId="8" xfId="22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 vertical="center"/>
    </xf>
    <xf numFmtId="0" fontId="4" fillId="5" borderId="8" xfId="0" applyFont="1" applyFill="1" applyBorder="1">
      <alignment vertical="center"/>
    </xf>
    <xf numFmtId="0" fontId="15" fillId="0" borderId="8" xfId="22" applyBorder="1" applyAlignment="1">
      <alignment vertical="center"/>
    </xf>
    <xf numFmtId="0" fontId="10" fillId="0" borderId="8" xfId="22" applyFont="1" applyBorder="1" applyAlignment="1">
      <alignment horizontal="left" vertical="center"/>
    </xf>
    <xf numFmtId="0" fontId="29" fillId="0" borderId="8" xfId="22" applyFont="1" applyBorder="1" applyAlignment="1">
      <alignment vertical="center"/>
    </xf>
    <xf numFmtId="0" fontId="29" fillId="0" borderId="8" xfId="22" applyFont="1" applyBorder="1" applyAlignment="1">
      <alignment horizontal="left" vertical="center"/>
    </xf>
    <xf numFmtId="0" fontId="29" fillId="0" borderId="8" xfId="22" applyFont="1" applyFill="1" applyBorder="1" applyAlignment="1">
      <alignment vertical="center"/>
    </xf>
    <xf numFmtId="0" fontId="29" fillId="0" borderId="8" xfId="22" applyFont="1" applyFill="1" applyBorder="1" applyAlignment="1">
      <alignment horizontal="left" vertical="center"/>
    </xf>
    <xf numFmtId="0" fontId="4" fillId="0" borderId="8" xfId="22" applyFont="1" applyBorder="1" applyAlignment="1">
      <alignment horizontal="left" vertical="center"/>
    </xf>
    <xf numFmtId="0" fontId="15" fillId="0" borderId="8" xfId="22" applyFill="1" applyBorder="1" applyAlignment="1">
      <alignment horizontal="left" vertical="center"/>
    </xf>
    <xf numFmtId="0" fontId="10" fillId="0" borderId="8" xfId="22" applyFont="1" applyFill="1" applyBorder="1" applyAlignment="1">
      <alignment horizontal="center" vertical="center"/>
    </xf>
    <xf numFmtId="0" fontId="4" fillId="6" borderId="8" xfId="0" applyFont="1" applyFill="1" applyBorder="1">
      <alignment vertical="center"/>
    </xf>
    <xf numFmtId="0" fontId="15" fillId="0" borderId="8" xfId="22" applyBorder="1" applyAlignment="1">
      <alignment horizontal="left" vertical="center"/>
    </xf>
    <xf numFmtId="0" fontId="10" fillId="0" borderId="8" xfId="0" applyFont="1" applyBorder="1">
      <alignment vertical="center"/>
    </xf>
    <xf numFmtId="0" fontId="4" fillId="0" borderId="8" xfId="22" applyFont="1" applyFill="1" applyBorder="1" applyAlignment="1">
      <alignment horizontal="left" vertical="center"/>
    </xf>
    <xf numFmtId="0" fontId="10" fillId="0" borderId="8" xfId="22" applyFont="1" applyFill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4" fillId="13" borderId="8" xfId="0" applyFont="1" applyFill="1" applyBorder="1" applyAlignment="1">
      <alignment horizontal="left" vertical="center"/>
    </xf>
    <xf numFmtId="0" fontId="15" fillId="13" borderId="8" xfId="22" applyFill="1" applyBorder="1" applyAlignment="1">
      <alignment horizontal="left" vertical="center"/>
    </xf>
    <xf numFmtId="0" fontId="4" fillId="13" borderId="8" xfId="0" applyFont="1" applyFill="1" applyBorder="1" applyAlignment="1">
      <alignment horizontal="center" vertical="center"/>
    </xf>
    <xf numFmtId="0" fontId="10" fillId="13" borderId="8" xfId="22" applyFont="1" applyFill="1" applyBorder="1" applyAlignment="1">
      <alignment horizontal="left" vertical="center"/>
    </xf>
    <xf numFmtId="0" fontId="28" fillId="0" borderId="8" xfId="0" applyFont="1" applyBorder="1" applyAlignment="1">
      <alignment horizontal="left" vertical="center"/>
    </xf>
    <xf numFmtId="0" fontId="3" fillId="0" borderId="8" xfId="22" applyFont="1" applyFill="1" applyBorder="1" applyAlignment="1">
      <alignment vertical="center"/>
    </xf>
    <xf numFmtId="0" fontId="3" fillId="0" borderId="8" xfId="22" applyFont="1" applyFill="1" applyBorder="1" applyAlignment="1">
      <alignment horizontal="left" vertical="center"/>
    </xf>
    <xf numFmtId="0" fontId="28" fillId="15" borderId="8" xfId="0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0" fontId="4" fillId="4" borderId="8" xfId="0" applyFont="1" applyFill="1" applyBorder="1">
      <alignment vertical="center"/>
    </xf>
    <xf numFmtId="0" fontId="4" fillId="4" borderId="8" xfId="0" applyFont="1" applyFill="1" applyBorder="1" applyAlignment="1">
      <alignment horizontal="center" vertical="center"/>
    </xf>
    <xf numFmtId="165" fontId="4" fillId="0" borderId="8" xfId="0" applyNumberFormat="1" applyFont="1" applyBorder="1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0" fillId="0" borderId="8" xfId="22" applyFont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20" fillId="6" borderId="8" xfId="0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22" fillId="14" borderId="10" xfId="0" applyFont="1" applyFill="1" applyBorder="1" applyAlignment="1">
      <alignment horizontal="center" vertical="center"/>
    </xf>
    <xf numFmtId="0" fontId="22" fillId="14" borderId="22" xfId="0" applyFont="1" applyFill="1" applyBorder="1" applyAlignment="1">
      <alignment horizontal="center" vertical="center"/>
    </xf>
    <xf numFmtId="0" fontId="22" fillId="14" borderId="11" xfId="0" applyFont="1" applyFill="1" applyBorder="1" applyAlignment="1">
      <alignment horizontal="center" vertical="center"/>
    </xf>
    <xf numFmtId="0" fontId="20" fillId="8" borderId="0" xfId="0" applyFont="1" applyFill="1" applyAlignment="1">
      <alignment horizontal="center" vertical="center"/>
    </xf>
    <xf numFmtId="0" fontId="22" fillId="9" borderId="8" xfId="0" applyFont="1" applyFill="1" applyBorder="1" applyAlignment="1">
      <alignment horizontal="center" vertical="center"/>
    </xf>
    <xf numFmtId="0" fontId="24" fillId="9" borderId="10" xfId="0" applyFont="1" applyFill="1" applyBorder="1" applyAlignment="1">
      <alignment horizontal="center" vertical="center"/>
    </xf>
    <xf numFmtId="0" fontId="24" fillId="9" borderId="22" xfId="0" applyFont="1" applyFill="1" applyBorder="1" applyAlignment="1">
      <alignment horizontal="center" vertical="center"/>
    </xf>
    <xf numFmtId="0" fontId="24" fillId="9" borderId="11" xfId="0" applyFont="1" applyFill="1" applyBorder="1" applyAlignment="1">
      <alignment horizontal="center" vertical="center"/>
    </xf>
    <xf numFmtId="0" fontId="4" fillId="0" borderId="19" xfId="0" applyFont="1" applyBorder="1" applyAlignment="1">
      <alignment horizontal="left" vertical="center"/>
    </xf>
    <xf numFmtId="0" fontId="21" fillId="9" borderId="10" xfId="0" applyFont="1" applyFill="1" applyBorder="1" applyAlignment="1">
      <alignment horizontal="center" vertical="center"/>
    </xf>
    <xf numFmtId="0" fontId="21" fillId="9" borderId="22" xfId="0" applyFont="1" applyFill="1" applyBorder="1" applyAlignment="1">
      <alignment horizontal="center" vertical="center"/>
    </xf>
    <xf numFmtId="0" fontId="21" fillId="9" borderId="11" xfId="0" applyFont="1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15" xfId="0" applyFont="1" applyFill="1" applyBorder="1" applyAlignment="1">
      <alignment horizontal="center" vertical="center"/>
    </xf>
    <xf numFmtId="0" fontId="22" fillId="14" borderId="14" xfId="0" applyFont="1" applyFill="1" applyBorder="1" applyAlignment="1">
      <alignment horizontal="center" vertical="center"/>
    </xf>
    <xf numFmtId="0" fontId="22" fillId="9" borderId="10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horizontal="center" vertical="center"/>
    </xf>
    <xf numFmtId="0" fontId="22" fillId="9" borderId="1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25" fillId="8" borderId="0" xfId="0" applyFont="1" applyFill="1" applyAlignment="1">
      <alignment horizontal="center" vertical="center"/>
    </xf>
    <xf numFmtId="0" fontId="60" fillId="8" borderId="0" xfId="0" applyFont="1" applyFill="1" applyAlignment="1">
      <alignment horizontal="center" vertical="center"/>
    </xf>
    <xf numFmtId="0" fontId="22" fillId="14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0" fontId="24" fillId="9" borderId="8" xfId="0" applyFont="1" applyFill="1" applyBorder="1" applyAlignment="1">
      <alignment horizontal="center" vertical="center" wrapText="1"/>
    </xf>
    <xf numFmtId="0" fontId="24" fillId="9" borderId="15" xfId="0" applyFont="1" applyFill="1" applyBorder="1" applyAlignment="1">
      <alignment horizontal="center" vertical="center"/>
    </xf>
    <xf numFmtId="0" fontId="24" fillId="9" borderId="16" xfId="0" applyFont="1" applyFill="1" applyBorder="1" applyAlignment="1">
      <alignment horizontal="center" vertical="center"/>
    </xf>
    <xf numFmtId="0" fontId="24" fillId="9" borderId="32" xfId="0" applyFont="1" applyFill="1" applyBorder="1" applyAlignment="1">
      <alignment horizontal="center" vertical="center"/>
    </xf>
    <xf numFmtId="0" fontId="33" fillId="8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33" fillId="8" borderId="0" xfId="0" applyFont="1" applyFill="1" applyAlignment="1">
      <alignment vertical="center"/>
    </xf>
    <xf numFmtId="0" fontId="28" fillId="0" borderId="0" xfId="0" applyFont="1" applyAlignment="1">
      <alignment vertical="center"/>
    </xf>
    <xf numFmtId="0" fontId="28" fillId="0" borderId="31" xfId="0" applyFont="1" applyBorder="1" applyAlignment="1">
      <alignment vertical="center"/>
    </xf>
    <xf numFmtId="0" fontId="24" fillId="9" borderId="10" xfId="0" applyFont="1" applyFill="1" applyBorder="1" applyAlignment="1">
      <alignment vertical="center"/>
    </xf>
    <xf numFmtId="0" fontId="24" fillId="9" borderId="11" xfId="0" applyFont="1" applyFill="1" applyBorder="1" applyAlignment="1">
      <alignment vertical="center"/>
    </xf>
    <xf numFmtId="0" fontId="24" fillId="9" borderId="22" xfId="0" applyFont="1" applyFill="1" applyBorder="1" applyAlignment="1">
      <alignment vertical="center"/>
    </xf>
  </cellXfs>
  <cellStyles count="23">
    <cellStyle name="Hyperlink" xfId="22" xr:uid="{00000000-000B-0000-0000-000008000000}"/>
    <cellStyle name="강조색5 2" xfId="13" xr:uid="{00000000-0005-0000-0000-000000000000}"/>
    <cellStyle name="쉼표 [0]" xfId="21" builtinId="6"/>
    <cellStyle name="쉼표 [0] 2" xfId="20" xr:uid="{00000000-0005-0000-0000-000001000000}"/>
    <cellStyle name="쉼표 [0] 3" xfId="19" xr:uid="{00000000-0005-0000-0000-000002000000}"/>
    <cellStyle name="표준" xfId="0" builtinId="0"/>
    <cellStyle name="표준 2" xfId="2" xr:uid="{00000000-0005-0000-0000-000004000000}"/>
    <cellStyle name="표준 2 2" xfId="9" xr:uid="{00000000-0005-0000-0000-000005000000}"/>
    <cellStyle name="표준 2 2 2" xfId="16" xr:uid="{00000000-0005-0000-0000-000006000000}"/>
    <cellStyle name="표준 2 2 4" xfId="17" xr:uid="{00000000-0005-0000-0000-000007000000}"/>
    <cellStyle name="표준 2 3" xfId="12" xr:uid="{00000000-0005-0000-0000-000008000000}"/>
    <cellStyle name="표준 2 4" xfId="18" xr:uid="{00000000-0005-0000-0000-000009000000}"/>
    <cellStyle name="표준 3" xfId="3" xr:uid="{00000000-0005-0000-0000-00000A000000}"/>
    <cellStyle name="표준 3 2" xfId="8" xr:uid="{00000000-0005-0000-0000-00000B000000}"/>
    <cellStyle name="표준 3 3" xfId="14" xr:uid="{00000000-0005-0000-0000-00000C000000}"/>
    <cellStyle name="표준 4" xfId="1" xr:uid="{00000000-0005-0000-0000-00000D000000}"/>
    <cellStyle name="표준 5" xfId="4" xr:uid="{00000000-0005-0000-0000-00000E000000}"/>
    <cellStyle name="표준 5 2" xfId="10" xr:uid="{00000000-0005-0000-0000-00000F000000}"/>
    <cellStyle name="표준 6" xfId="5" xr:uid="{00000000-0005-0000-0000-000010000000}"/>
    <cellStyle name="표준 6 2" xfId="6" xr:uid="{00000000-0005-0000-0000-000011000000}"/>
    <cellStyle name="표준 7" xfId="7" xr:uid="{00000000-0005-0000-0000-000012000000}"/>
    <cellStyle name="하이퍼링크 2" xfId="15" xr:uid="{00000000-0005-0000-0000-000014000000}"/>
    <cellStyle name="하이퍼링크 3" xfId="11" xr:uid="{00000000-0005-0000-0000-000015000000}"/>
  </cellStyles>
  <dxfs count="0"/>
  <tableStyles count="0" defaultTableStyle="TableStyleMedium2" defaultPivotStyle="PivotStyleLight16"/>
  <colors>
    <mruColors>
      <color rgb="FF595959"/>
      <color rgb="FFFFFFFF"/>
      <color rgb="FFCFCDCD"/>
      <color rgb="FFD0CECE"/>
      <color rgb="FF0066FF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609600</xdr:colOff>
      <xdr:row>142</xdr:row>
      <xdr:rowOff>152400</xdr:rowOff>
    </xdr:from>
    <xdr:to>
      <xdr:col>37</xdr:col>
      <xdr:colOff>1314450</xdr:colOff>
      <xdr:row>147</xdr:row>
      <xdr:rowOff>133350</xdr:rowOff>
    </xdr:to>
    <xdr:sp macro="" textlink="">
      <xdr:nvSpPr>
        <xdr:cNvPr id="3" name="둥근 사각형 4">
          <a:extLst>
            <a:ext uri="{FF2B5EF4-FFF2-40B4-BE49-F238E27FC236}">
              <a16:creationId xmlns:a16="http://schemas.microsoft.com/office/drawing/2014/main" id="{1E08F2E6-496D-40B7-A9AE-DC5BFCFE7306}"/>
            </a:ext>
            <a:ext uri="{147F2762-F138-4A5C-976F-8EAC2B608ADB}">
              <a16:predDERef xmlns:a16="http://schemas.microsoft.com/office/drawing/2014/main" pred="{ABB3F24B-5F36-4C27-B6FE-D7B0911563C5}"/>
            </a:ext>
          </a:extLst>
        </xdr:cNvPr>
        <xdr:cNvSpPr/>
      </xdr:nvSpPr>
      <xdr:spPr>
        <a:xfrm>
          <a:off x="25298400" y="29908500"/>
          <a:ext cx="762000" cy="1028700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ko-KR" altLang="en-US" sz="4800" b="1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투자</a:t>
          </a:r>
        </a:p>
      </xdr:txBody>
    </xdr:sp>
    <xdr:clientData/>
  </xdr:twoCellAnchor>
  <xdr:twoCellAnchor>
    <xdr:from>
      <xdr:col>23</xdr:col>
      <xdr:colOff>1752600</xdr:colOff>
      <xdr:row>141</xdr:row>
      <xdr:rowOff>38100</xdr:rowOff>
    </xdr:from>
    <xdr:to>
      <xdr:col>25</xdr:col>
      <xdr:colOff>1476375</xdr:colOff>
      <xdr:row>146</xdr:row>
      <xdr:rowOff>0</xdr:rowOff>
    </xdr:to>
    <xdr:sp macro="" textlink="">
      <xdr:nvSpPr>
        <xdr:cNvPr id="4" name="둥근 사각형 5">
          <a:extLst>
            <a:ext uri="{FF2B5EF4-FFF2-40B4-BE49-F238E27FC236}">
              <a16:creationId xmlns:a16="http://schemas.microsoft.com/office/drawing/2014/main" id="{1F7FBFB6-AF78-4F6D-A54F-DBD4F35ED646}"/>
            </a:ext>
            <a:ext uri="{147F2762-F138-4A5C-976F-8EAC2B608ADB}">
              <a16:predDERef xmlns:a16="http://schemas.microsoft.com/office/drawing/2014/main" pred="{1E08F2E6-496D-40B7-A9AE-DC5BFCFE7306}"/>
            </a:ext>
          </a:extLst>
        </xdr:cNvPr>
        <xdr:cNvSpPr/>
      </xdr:nvSpPr>
      <xdr:spPr>
        <a:xfrm>
          <a:off x="46186725" y="14706600"/>
          <a:ext cx="3629025" cy="914400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ko-KR" altLang="en-US" sz="4800" b="1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인건비</a:t>
          </a:r>
        </a:p>
      </xdr:txBody>
    </xdr:sp>
    <xdr:clientData/>
  </xdr:twoCellAnchor>
  <xdr:twoCellAnchor>
    <xdr:from>
      <xdr:col>41</xdr:col>
      <xdr:colOff>342900</xdr:colOff>
      <xdr:row>142</xdr:row>
      <xdr:rowOff>152400</xdr:rowOff>
    </xdr:from>
    <xdr:to>
      <xdr:col>42</xdr:col>
      <xdr:colOff>1762125</xdr:colOff>
      <xdr:row>147</xdr:row>
      <xdr:rowOff>133350</xdr:rowOff>
    </xdr:to>
    <xdr:sp macro="" textlink="">
      <xdr:nvSpPr>
        <xdr:cNvPr id="5" name="둥근 사각형 6">
          <a:extLst>
            <a:ext uri="{FF2B5EF4-FFF2-40B4-BE49-F238E27FC236}">
              <a16:creationId xmlns:a16="http://schemas.microsoft.com/office/drawing/2014/main" id="{59F4B2B4-1692-4328-897B-7787B7B3B36C}"/>
            </a:ext>
            <a:ext uri="{147F2762-F138-4A5C-976F-8EAC2B608ADB}">
              <a16:predDERef xmlns:a16="http://schemas.microsoft.com/office/drawing/2014/main" pred="{C2085D2B-21FA-4043-AE67-5BA7AEB77A53}"/>
            </a:ext>
          </a:extLst>
        </xdr:cNvPr>
        <xdr:cNvSpPr/>
      </xdr:nvSpPr>
      <xdr:spPr>
        <a:xfrm>
          <a:off x="28460700" y="29908500"/>
          <a:ext cx="1028700" cy="1028700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ko-KR" altLang="en-US" sz="4800" b="1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경비</a:t>
          </a:r>
        </a:p>
      </xdr:txBody>
    </xdr:sp>
    <xdr:clientData/>
  </xdr:twoCellAnchor>
  <xdr:twoCellAnchor>
    <xdr:from>
      <xdr:col>45</xdr:col>
      <xdr:colOff>123825</xdr:colOff>
      <xdr:row>142</xdr:row>
      <xdr:rowOff>47625</xdr:rowOff>
    </xdr:from>
    <xdr:to>
      <xdr:col>46</xdr:col>
      <xdr:colOff>1762125</xdr:colOff>
      <xdr:row>147</xdr:row>
      <xdr:rowOff>19050</xdr:rowOff>
    </xdr:to>
    <xdr:sp macro="" textlink="">
      <xdr:nvSpPr>
        <xdr:cNvPr id="6" name="둥근 사각형 5">
          <a:extLst>
            <a:ext uri="{FF2B5EF4-FFF2-40B4-BE49-F238E27FC236}">
              <a16:creationId xmlns:a16="http://schemas.microsoft.com/office/drawing/2014/main" id="{9344295C-15F2-4C54-BA5B-5424ECCD9304}"/>
            </a:ext>
            <a:ext uri="{147F2762-F138-4A5C-976F-8EAC2B608ADB}">
              <a16:predDERef xmlns:a16="http://schemas.microsoft.com/office/drawing/2014/main" pred="{59F4B2B4-1692-4328-897B-7787B7B3B36C}"/>
            </a:ext>
          </a:extLst>
        </xdr:cNvPr>
        <xdr:cNvSpPr/>
      </xdr:nvSpPr>
      <xdr:spPr>
        <a:xfrm>
          <a:off x="87515700" y="14906625"/>
          <a:ext cx="3590925" cy="92392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4800" b="1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SG&amp;A </a:t>
          </a:r>
          <a:r>
            <a:rPr lang="ko-KR" altLang="en-US" sz="4800" b="1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공통</a:t>
          </a:r>
        </a:p>
      </xdr:txBody>
    </xdr:sp>
    <xdr:clientData/>
  </xdr:twoCellAnchor>
  <xdr:twoCellAnchor>
    <xdr:from>
      <xdr:col>20</xdr:col>
      <xdr:colOff>47625</xdr:colOff>
      <xdr:row>5</xdr:row>
      <xdr:rowOff>114300</xdr:rowOff>
    </xdr:from>
    <xdr:to>
      <xdr:col>21</xdr:col>
      <xdr:colOff>2152650</xdr:colOff>
      <xdr:row>10</xdr:row>
      <xdr:rowOff>114300</xdr:rowOff>
    </xdr:to>
    <xdr:sp macro="" textlink="">
      <xdr:nvSpPr>
        <xdr:cNvPr id="7" name="둥근 사각형 6">
          <a:extLst>
            <a:ext uri="{FF2B5EF4-FFF2-40B4-BE49-F238E27FC236}">
              <a16:creationId xmlns:a16="http://schemas.microsoft.com/office/drawing/2014/main" id="{4F901026-C901-4309-B4E9-E28FF2848539}"/>
            </a:ext>
            <a:ext uri="{147F2762-F138-4A5C-976F-8EAC2B608ADB}">
              <a16:predDERef xmlns:a16="http://schemas.microsoft.com/office/drawing/2014/main" pred="{4B3875EE-3C4E-4E1C-9B63-05C7DF1F27DB}"/>
            </a:ext>
          </a:extLst>
        </xdr:cNvPr>
        <xdr:cNvSpPr/>
      </xdr:nvSpPr>
      <xdr:spPr>
        <a:xfrm>
          <a:off x="13763625" y="1162050"/>
          <a:ext cx="1323975" cy="1047750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ko-KR" altLang="en-US" sz="4800" b="1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공통</a:t>
          </a:r>
        </a:p>
      </xdr:txBody>
    </xdr:sp>
    <xdr:clientData/>
  </xdr:twoCellAnchor>
  <xdr:twoCellAnchor>
    <xdr:from>
      <xdr:col>17</xdr:col>
      <xdr:colOff>1260765</xdr:colOff>
      <xdr:row>37</xdr:row>
      <xdr:rowOff>121227</xdr:rowOff>
    </xdr:from>
    <xdr:to>
      <xdr:col>20</xdr:col>
      <xdr:colOff>867</xdr:colOff>
      <xdr:row>335</xdr:row>
      <xdr:rowOff>117764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5041DB0E-7EDE-4637-80CF-44FAD3F76CC6}"/>
            </a:ext>
          </a:extLst>
        </xdr:cNvPr>
        <xdr:cNvGrpSpPr/>
      </xdr:nvGrpSpPr>
      <xdr:grpSpPr>
        <a:xfrm>
          <a:off x="33979140" y="7169727"/>
          <a:ext cx="4597977" cy="29333537"/>
          <a:chOff x="37961455" y="7169727"/>
          <a:chExt cx="4606636" cy="11222182"/>
        </a:xfrm>
      </xdr:grpSpPr>
      <xdr:cxnSp macro="">
        <xdr:nvCxnSpPr>
          <xdr:cNvPr id="13" name="직선 연결선 12">
            <a:extLst>
              <a:ext uri="{FF2B5EF4-FFF2-40B4-BE49-F238E27FC236}">
                <a16:creationId xmlns:a16="http://schemas.microsoft.com/office/drawing/2014/main" id="{4B30B5D7-198C-D17F-157E-B0A84E6588BC}"/>
              </a:ext>
            </a:extLst>
          </xdr:cNvPr>
          <xdr:cNvCxnSpPr/>
        </xdr:nvCxnSpPr>
        <xdr:spPr>
          <a:xfrm flipH="1">
            <a:off x="37961455" y="18391909"/>
            <a:ext cx="710045" cy="0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1BD7C6E9-ABF3-4091-8374-997D4B6F1C7D}"/>
              </a:ext>
            </a:extLst>
          </xdr:cNvPr>
          <xdr:cNvCxnSpPr/>
        </xdr:nvCxnSpPr>
        <xdr:spPr>
          <a:xfrm flipV="1">
            <a:off x="37961455" y="7169727"/>
            <a:ext cx="0" cy="11222182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직선 화살표 연결선 14">
            <a:extLst>
              <a:ext uri="{FF2B5EF4-FFF2-40B4-BE49-F238E27FC236}">
                <a16:creationId xmlns:a16="http://schemas.microsoft.com/office/drawing/2014/main" id="{B7E5AFCA-9875-2B3C-0F56-59D3C5B95AF7}"/>
              </a:ext>
            </a:extLst>
          </xdr:cNvPr>
          <xdr:cNvCxnSpPr/>
        </xdr:nvCxnSpPr>
        <xdr:spPr>
          <a:xfrm>
            <a:off x="37978773" y="7169727"/>
            <a:ext cx="4589318" cy="0"/>
          </a:xfrm>
          <a:prstGeom prst="straightConnector1">
            <a:avLst/>
          </a:prstGeom>
          <a:ln w="12700"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1021770</xdr:colOff>
      <xdr:row>37</xdr:row>
      <xdr:rowOff>123265</xdr:rowOff>
    </xdr:from>
    <xdr:to>
      <xdr:col>21</xdr:col>
      <xdr:colOff>13603</xdr:colOff>
      <xdr:row>154</xdr:row>
      <xdr:rowOff>53992</xdr:rowOff>
    </xdr:to>
    <xdr:grpSp>
      <xdr:nvGrpSpPr>
        <xdr:cNvPr id="16" name="그룹 15">
          <a:extLst>
            <a:ext uri="{FF2B5EF4-FFF2-40B4-BE49-F238E27FC236}">
              <a16:creationId xmlns:a16="http://schemas.microsoft.com/office/drawing/2014/main" id="{70FA2B4D-D181-4BA6-8872-D22E9D33E8A8}"/>
            </a:ext>
          </a:extLst>
        </xdr:cNvPr>
        <xdr:cNvGrpSpPr/>
      </xdr:nvGrpSpPr>
      <xdr:grpSpPr>
        <a:xfrm>
          <a:off x="37645395" y="7171765"/>
          <a:ext cx="2897083" cy="22219227"/>
          <a:chOff x="41632909" y="7239000"/>
          <a:chExt cx="2905719" cy="11360727"/>
        </a:xfrm>
      </xdr:grpSpPr>
      <xdr:cxnSp macro="">
        <xdr:nvCxnSpPr>
          <xdr:cNvPr id="17" name="직선 연결선 16">
            <a:extLst>
              <a:ext uri="{FF2B5EF4-FFF2-40B4-BE49-F238E27FC236}">
                <a16:creationId xmlns:a16="http://schemas.microsoft.com/office/drawing/2014/main" id="{2A3E5C0F-6E70-4A85-958D-863763AC3EC2}"/>
              </a:ext>
            </a:extLst>
          </xdr:cNvPr>
          <xdr:cNvCxnSpPr/>
        </xdr:nvCxnSpPr>
        <xdr:spPr>
          <a:xfrm flipH="1">
            <a:off x="43586128" y="18598709"/>
            <a:ext cx="952500" cy="0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F413DD6F-58BD-0AB5-405A-28AA2B3365F3}"/>
              </a:ext>
            </a:extLst>
          </xdr:cNvPr>
          <xdr:cNvCxnSpPr/>
        </xdr:nvCxnSpPr>
        <xdr:spPr>
          <a:xfrm flipV="1">
            <a:off x="43589864" y="9611591"/>
            <a:ext cx="0" cy="8988136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A13CD5AA-F5CE-F03B-61C3-ECAA9764094C}"/>
              </a:ext>
            </a:extLst>
          </xdr:cNvPr>
          <xdr:cNvCxnSpPr/>
        </xdr:nvCxnSpPr>
        <xdr:spPr>
          <a:xfrm flipH="1">
            <a:off x="41650227" y="9611591"/>
            <a:ext cx="1956955" cy="0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직선 연결선 19">
            <a:extLst>
              <a:ext uri="{FF2B5EF4-FFF2-40B4-BE49-F238E27FC236}">
                <a16:creationId xmlns:a16="http://schemas.microsoft.com/office/drawing/2014/main" id="{E1E0DA0A-BB4D-CF2E-FD52-5EFED1B2BEC9}"/>
              </a:ext>
            </a:extLst>
          </xdr:cNvPr>
          <xdr:cNvCxnSpPr/>
        </xdr:nvCxnSpPr>
        <xdr:spPr>
          <a:xfrm flipV="1">
            <a:off x="41650227" y="7239000"/>
            <a:ext cx="0" cy="2372591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" name="직선 화살표 연결선 20">
            <a:extLst>
              <a:ext uri="{FF2B5EF4-FFF2-40B4-BE49-F238E27FC236}">
                <a16:creationId xmlns:a16="http://schemas.microsoft.com/office/drawing/2014/main" id="{24BA4F24-DBA9-8153-A8D8-B41C364F2678}"/>
              </a:ext>
            </a:extLst>
          </xdr:cNvPr>
          <xdr:cNvCxnSpPr/>
        </xdr:nvCxnSpPr>
        <xdr:spPr>
          <a:xfrm>
            <a:off x="41632909" y="7239000"/>
            <a:ext cx="952500" cy="0"/>
          </a:xfrm>
          <a:prstGeom prst="straightConnector1">
            <a:avLst/>
          </a:prstGeom>
          <a:ln w="12700"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1029517</xdr:colOff>
      <xdr:row>38</xdr:row>
      <xdr:rowOff>134063</xdr:rowOff>
    </xdr:from>
    <xdr:to>
      <xdr:col>21</xdr:col>
      <xdr:colOff>12073</xdr:colOff>
      <xdr:row>155</xdr:row>
      <xdr:rowOff>186017</xdr:rowOff>
    </xdr:to>
    <xdr:grpSp>
      <xdr:nvGrpSpPr>
        <xdr:cNvPr id="22" name="그룹 21">
          <a:extLst>
            <a:ext uri="{FF2B5EF4-FFF2-40B4-BE49-F238E27FC236}">
              <a16:creationId xmlns:a16="http://schemas.microsoft.com/office/drawing/2014/main" id="{3EBB79C8-D375-435D-99B8-9E0A636B6DC1}"/>
            </a:ext>
          </a:extLst>
        </xdr:cNvPr>
        <xdr:cNvGrpSpPr/>
      </xdr:nvGrpSpPr>
      <xdr:grpSpPr>
        <a:xfrm>
          <a:off x="37653142" y="7373063"/>
          <a:ext cx="2887806" cy="22340454"/>
          <a:chOff x="41632909" y="7117773"/>
          <a:chExt cx="2892136" cy="11481954"/>
        </a:xfrm>
      </xdr:grpSpPr>
      <xdr:cxnSp macro="">
        <xdr:nvCxnSpPr>
          <xdr:cNvPr id="23" name="직선 연결선 22">
            <a:extLst>
              <a:ext uri="{FF2B5EF4-FFF2-40B4-BE49-F238E27FC236}">
                <a16:creationId xmlns:a16="http://schemas.microsoft.com/office/drawing/2014/main" id="{D0C7F781-DB36-30FB-6600-1773042CB605}"/>
              </a:ext>
            </a:extLst>
          </xdr:cNvPr>
          <xdr:cNvCxnSpPr/>
        </xdr:nvCxnSpPr>
        <xdr:spPr>
          <a:xfrm flipH="1">
            <a:off x="43572545" y="18522668"/>
            <a:ext cx="952500" cy="0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직선 연결선 23">
            <a:extLst>
              <a:ext uri="{FF2B5EF4-FFF2-40B4-BE49-F238E27FC236}">
                <a16:creationId xmlns:a16="http://schemas.microsoft.com/office/drawing/2014/main" id="{EF2D91DA-7107-58D2-9B74-DF663F27B8FA}"/>
              </a:ext>
            </a:extLst>
          </xdr:cNvPr>
          <xdr:cNvCxnSpPr/>
        </xdr:nvCxnSpPr>
        <xdr:spPr>
          <a:xfrm flipV="1">
            <a:off x="43589864" y="9611591"/>
            <a:ext cx="0" cy="8988136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직선 연결선 24">
            <a:extLst>
              <a:ext uri="{FF2B5EF4-FFF2-40B4-BE49-F238E27FC236}">
                <a16:creationId xmlns:a16="http://schemas.microsoft.com/office/drawing/2014/main" id="{0510B09F-18EB-6B3E-FD6D-2CC41AF9767C}"/>
              </a:ext>
            </a:extLst>
          </xdr:cNvPr>
          <xdr:cNvCxnSpPr/>
        </xdr:nvCxnSpPr>
        <xdr:spPr>
          <a:xfrm flipH="1">
            <a:off x="41650227" y="9611591"/>
            <a:ext cx="1938062" cy="0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직선 연결선 25">
            <a:extLst>
              <a:ext uri="{FF2B5EF4-FFF2-40B4-BE49-F238E27FC236}">
                <a16:creationId xmlns:a16="http://schemas.microsoft.com/office/drawing/2014/main" id="{5028ED46-BABB-D348-8691-740342AB9EED}"/>
              </a:ext>
            </a:extLst>
          </xdr:cNvPr>
          <xdr:cNvCxnSpPr/>
        </xdr:nvCxnSpPr>
        <xdr:spPr>
          <a:xfrm flipV="1">
            <a:off x="41650227" y="7119940"/>
            <a:ext cx="0" cy="2496352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직선 화살표 연결선 26">
            <a:extLst>
              <a:ext uri="{FF2B5EF4-FFF2-40B4-BE49-F238E27FC236}">
                <a16:creationId xmlns:a16="http://schemas.microsoft.com/office/drawing/2014/main" id="{F10BC9F0-FAB1-8988-EDDB-6E84E9E4EAA2}"/>
              </a:ext>
            </a:extLst>
          </xdr:cNvPr>
          <xdr:cNvCxnSpPr/>
        </xdr:nvCxnSpPr>
        <xdr:spPr>
          <a:xfrm>
            <a:off x="41632909" y="7117773"/>
            <a:ext cx="952500" cy="0"/>
          </a:xfrm>
          <a:prstGeom prst="straightConnector1">
            <a:avLst/>
          </a:prstGeom>
          <a:ln w="12700"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1018594</xdr:colOff>
      <xdr:row>56</xdr:row>
      <xdr:rowOff>86591</xdr:rowOff>
    </xdr:from>
    <xdr:to>
      <xdr:col>20</xdr:col>
      <xdr:colOff>1018594</xdr:colOff>
      <xdr:row>152</xdr:row>
      <xdr:rowOff>121227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239505D9-043A-E373-1687-0E0AF4938789}"/>
            </a:ext>
          </a:extLst>
        </xdr:cNvPr>
        <xdr:cNvCxnSpPr/>
      </xdr:nvCxnSpPr>
      <xdr:spPr>
        <a:xfrm flipV="1">
          <a:off x="39717308" y="10754591"/>
          <a:ext cx="0" cy="613063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1031055</xdr:colOff>
      <xdr:row>56</xdr:row>
      <xdr:rowOff>99037</xdr:rowOff>
    </xdr:from>
    <xdr:to>
      <xdr:col>22</xdr:col>
      <xdr:colOff>1891390</xdr:colOff>
      <xdr:row>56</xdr:row>
      <xdr:rowOff>99037</xdr:rowOff>
    </xdr:to>
    <xdr:cxnSp macro="">
      <xdr:nvCxnSpPr>
        <xdr:cNvPr id="31" name="직선 화살표 연결선 30">
          <a:extLst>
            <a:ext uri="{FF2B5EF4-FFF2-40B4-BE49-F238E27FC236}">
              <a16:creationId xmlns:a16="http://schemas.microsoft.com/office/drawing/2014/main" id="{188BF767-7858-AF48-AAF7-2DE0D536C9D9}"/>
            </a:ext>
          </a:extLst>
        </xdr:cNvPr>
        <xdr:cNvCxnSpPr/>
      </xdr:nvCxnSpPr>
      <xdr:spPr>
        <a:xfrm>
          <a:off x="39729769" y="10767037"/>
          <a:ext cx="4779192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1030941</xdr:colOff>
      <xdr:row>337</xdr:row>
      <xdr:rowOff>95250</xdr:rowOff>
    </xdr:from>
    <xdr:to>
      <xdr:col>21</xdr:col>
      <xdr:colOff>2401</xdr:colOff>
      <xdr:row>337</xdr:row>
      <xdr:rowOff>95250</xdr:rowOff>
    </xdr:to>
    <xdr:cxnSp macro="">
      <xdr:nvCxnSpPr>
        <xdr:cNvPr id="32" name="직선 연결선 31">
          <a:extLst>
            <a:ext uri="{FF2B5EF4-FFF2-40B4-BE49-F238E27FC236}">
              <a16:creationId xmlns:a16="http://schemas.microsoft.com/office/drawing/2014/main" id="{15CD8AAD-3212-4639-BCFE-A82DB7A62C53}"/>
            </a:ext>
          </a:extLst>
        </xdr:cNvPr>
        <xdr:cNvCxnSpPr/>
      </xdr:nvCxnSpPr>
      <xdr:spPr>
        <a:xfrm flipH="1">
          <a:off x="14404041" y="72180450"/>
          <a:ext cx="160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1017814</xdr:colOff>
      <xdr:row>50</xdr:row>
      <xdr:rowOff>114300</xdr:rowOff>
    </xdr:from>
    <xdr:to>
      <xdr:col>20</xdr:col>
      <xdr:colOff>1017814</xdr:colOff>
      <xdr:row>338</xdr:row>
      <xdr:rowOff>112059</xdr:rowOff>
    </xdr:to>
    <xdr:cxnSp macro="">
      <xdr:nvCxnSpPr>
        <xdr:cNvPr id="33" name="직선 연결선 32">
          <a:extLst>
            <a:ext uri="{FF2B5EF4-FFF2-40B4-BE49-F238E27FC236}">
              <a16:creationId xmlns:a16="http://schemas.microsoft.com/office/drawing/2014/main" id="{48F71D26-7892-4FBB-8748-90AF3444C990}"/>
            </a:ext>
          </a:extLst>
        </xdr:cNvPr>
        <xdr:cNvCxnSpPr/>
      </xdr:nvCxnSpPr>
      <xdr:spPr>
        <a:xfrm flipV="1">
          <a:off x="14400439" y="10591800"/>
          <a:ext cx="0" cy="61815009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1024247</xdr:colOff>
      <xdr:row>338</xdr:row>
      <xdr:rowOff>112670</xdr:rowOff>
    </xdr:from>
    <xdr:to>
      <xdr:col>21</xdr:col>
      <xdr:colOff>6186</xdr:colOff>
      <xdr:row>338</xdr:row>
      <xdr:rowOff>112670</xdr:rowOff>
    </xdr:to>
    <xdr:cxnSp macro="">
      <xdr:nvCxnSpPr>
        <xdr:cNvPr id="34" name="직선 연결선 33">
          <a:extLst>
            <a:ext uri="{FF2B5EF4-FFF2-40B4-BE49-F238E27FC236}">
              <a16:creationId xmlns:a16="http://schemas.microsoft.com/office/drawing/2014/main" id="{E0491792-B6C8-49B7-88D4-369CA702118A}"/>
            </a:ext>
          </a:extLst>
        </xdr:cNvPr>
        <xdr:cNvCxnSpPr/>
      </xdr:nvCxnSpPr>
      <xdr:spPr>
        <a:xfrm flipH="1">
          <a:off x="14397347" y="72407420"/>
          <a:ext cx="10639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6505</xdr:colOff>
      <xdr:row>37</xdr:row>
      <xdr:rowOff>95250</xdr:rowOff>
    </xdr:from>
    <xdr:to>
      <xdr:col>24</xdr:col>
      <xdr:colOff>0</xdr:colOff>
      <xdr:row>154</xdr:row>
      <xdr:rowOff>71437</xdr:rowOff>
    </xdr:to>
    <xdr:grpSp>
      <xdr:nvGrpSpPr>
        <xdr:cNvPr id="35" name="그룹 34">
          <a:extLst>
            <a:ext uri="{FF2B5EF4-FFF2-40B4-BE49-F238E27FC236}">
              <a16:creationId xmlns:a16="http://schemas.microsoft.com/office/drawing/2014/main" id="{0FD664B4-5A57-4D8A-9509-8A7E9575A6B5}"/>
            </a:ext>
          </a:extLst>
        </xdr:cNvPr>
        <xdr:cNvGrpSpPr/>
      </xdr:nvGrpSpPr>
      <xdr:grpSpPr>
        <a:xfrm>
          <a:off x="42488005" y="7143750"/>
          <a:ext cx="3898745" cy="22264687"/>
          <a:chOff x="46338566" y="7143750"/>
          <a:chExt cx="3886199" cy="11406187"/>
        </a:xfrm>
      </xdr:grpSpPr>
      <xdr:grpSp>
        <xdr:nvGrpSpPr>
          <xdr:cNvPr id="36" name="그룹 35">
            <a:extLst>
              <a:ext uri="{FF2B5EF4-FFF2-40B4-BE49-F238E27FC236}">
                <a16:creationId xmlns:a16="http://schemas.microsoft.com/office/drawing/2014/main" id="{D22EA871-A745-C23A-C6DD-F1163F026350}"/>
              </a:ext>
            </a:extLst>
          </xdr:cNvPr>
          <xdr:cNvGrpSpPr/>
        </xdr:nvGrpSpPr>
        <xdr:grpSpPr>
          <a:xfrm>
            <a:off x="46338566" y="7143750"/>
            <a:ext cx="3032958" cy="11406187"/>
            <a:chOff x="46397435" y="7143750"/>
            <a:chExt cx="3037315" cy="11406187"/>
          </a:xfrm>
        </xdr:grpSpPr>
        <xdr:cxnSp macro="">
          <xdr:nvCxnSpPr>
            <xdr:cNvPr id="38" name="직선 연결선 37">
              <a:extLst>
                <a:ext uri="{FF2B5EF4-FFF2-40B4-BE49-F238E27FC236}">
                  <a16:creationId xmlns:a16="http://schemas.microsoft.com/office/drawing/2014/main" id="{B29E4D5F-BFCE-6460-6F21-E5FC3C1A2D34}"/>
                </a:ext>
              </a:extLst>
            </xdr:cNvPr>
            <xdr:cNvCxnSpPr/>
          </xdr:nvCxnSpPr>
          <xdr:spPr>
            <a:xfrm flipV="1">
              <a:off x="49434750" y="13716000"/>
              <a:ext cx="0" cy="4833937"/>
            </a:xfrm>
            <a:prstGeom prst="line">
              <a:avLst/>
            </a:prstGeom>
            <a:ln w="127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" name="직선 연결선 38">
              <a:extLst>
                <a:ext uri="{FF2B5EF4-FFF2-40B4-BE49-F238E27FC236}">
                  <a16:creationId xmlns:a16="http://schemas.microsoft.com/office/drawing/2014/main" id="{E5DE59E5-FDE6-DE9B-059C-26D8038C48DD}"/>
                </a:ext>
              </a:extLst>
            </xdr:cNvPr>
            <xdr:cNvCxnSpPr/>
          </xdr:nvCxnSpPr>
          <xdr:spPr>
            <a:xfrm flipH="1">
              <a:off x="47172562" y="13716000"/>
              <a:ext cx="2262188" cy="0"/>
            </a:xfrm>
            <a:prstGeom prst="line">
              <a:avLst/>
            </a:prstGeom>
            <a:ln w="127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0" name="직선 연결선 39">
              <a:extLst>
                <a:ext uri="{FF2B5EF4-FFF2-40B4-BE49-F238E27FC236}">
                  <a16:creationId xmlns:a16="http://schemas.microsoft.com/office/drawing/2014/main" id="{305709B6-943F-D268-7812-9B1F38105F94}"/>
                </a:ext>
              </a:extLst>
            </xdr:cNvPr>
            <xdr:cNvCxnSpPr/>
          </xdr:nvCxnSpPr>
          <xdr:spPr>
            <a:xfrm flipV="1">
              <a:off x="47172562" y="7143750"/>
              <a:ext cx="0" cy="6596062"/>
            </a:xfrm>
            <a:prstGeom prst="line">
              <a:avLst/>
            </a:prstGeom>
            <a:ln w="127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" name="직선 화살표 연결선 40">
              <a:extLst>
                <a:ext uri="{FF2B5EF4-FFF2-40B4-BE49-F238E27FC236}">
                  <a16:creationId xmlns:a16="http://schemas.microsoft.com/office/drawing/2014/main" id="{A510DD36-4391-A6B0-D2C4-093C6417E270}"/>
                </a:ext>
              </a:extLst>
            </xdr:cNvPr>
            <xdr:cNvCxnSpPr/>
          </xdr:nvCxnSpPr>
          <xdr:spPr>
            <a:xfrm flipH="1">
              <a:off x="46397435" y="7143750"/>
              <a:ext cx="785813" cy="0"/>
            </a:xfrm>
            <a:prstGeom prst="straightConnector1">
              <a:avLst/>
            </a:prstGeom>
            <a:ln w="12700"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7" name="직선 연결선 36">
            <a:extLst>
              <a:ext uri="{FF2B5EF4-FFF2-40B4-BE49-F238E27FC236}">
                <a16:creationId xmlns:a16="http://schemas.microsoft.com/office/drawing/2014/main" id="{707DB312-984E-92E3-6D91-B52862CE855C}"/>
              </a:ext>
            </a:extLst>
          </xdr:cNvPr>
          <xdr:cNvCxnSpPr/>
        </xdr:nvCxnSpPr>
        <xdr:spPr>
          <a:xfrm>
            <a:off x="49373118" y="18545735"/>
            <a:ext cx="851647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1085951</xdr:colOff>
      <xdr:row>338</xdr:row>
      <xdr:rowOff>121227</xdr:rowOff>
    </xdr:from>
    <xdr:to>
      <xdr:col>24</xdr:col>
      <xdr:colOff>1927411</xdr:colOff>
      <xdr:row>338</xdr:row>
      <xdr:rowOff>121227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257D341F-8344-41D5-838F-3DA2D5D58293}"/>
            </a:ext>
          </a:extLst>
        </xdr:cNvPr>
        <xdr:cNvCxnSpPr/>
      </xdr:nvCxnSpPr>
      <xdr:spPr>
        <a:xfrm flipH="1">
          <a:off x="16459301" y="72415977"/>
          <a:ext cx="689060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1091047</xdr:colOff>
      <xdr:row>150</xdr:row>
      <xdr:rowOff>155864</xdr:rowOff>
    </xdr:from>
    <xdr:to>
      <xdr:col>23</xdr:col>
      <xdr:colOff>1091047</xdr:colOff>
      <xdr:row>338</xdr:row>
      <xdr:rowOff>138545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83BBAC56-652F-48E0-8F05-218863028734}"/>
            </a:ext>
          </a:extLst>
        </xdr:cNvPr>
        <xdr:cNvCxnSpPr/>
      </xdr:nvCxnSpPr>
      <xdr:spPr>
        <a:xfrm flipV="1">
          <a:off x="16454872" y="33055214"/>
          <a:ext cx="0" cy="39378081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17318</xdr:colOff>
      <xdr:row>38</xdr:row>
      <xdr:rowOff>121228</xdr:rowOff>
    </xdr:from>
    <xdr:to>
      <xdr:col>22</xdr:col>
      <xdr:colOff>779318</xdr:colOff>
      <xdr:row>38</xdr:row>
      <xdr:rowOff>121228</xdr:rowOff>
    </xdr:to>
    <xdr:cxnSp macro="">
      <xdr:nvCxnSpPr>
        <xdr:cNvPr id="44" name="직선 화살표 연결선 43">
          <a:extLst>
            <a:ext uri="{FF2B5EF4-FFF2-40B4-BE49-F238E27FC236}">
              <a16:creationId xmlns:a16="http://schemas.microsoft.com/office/drawing/2014/main" id="{F932090C-81FB-43C8-8347-DC3894809B93}"/>
            </a:ext>
          </a:extLst>
        </xdr:cNvPr>
        <xdr:cNvCxnSpPr/>
      </xdr:nvCxnSpPr>
      <xdr:spPr>
        <a:xfrm flipH="1">
          <a:off x="15104918" y="8084128"/>
          <a:ext cx="6667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796636</xdr:colOff>
      <xdr:row>338</xdr:row>
      <xdr:rowOff>121227</xdr:rowOff>
    </xdr:from>
    <xdr:to>
      <xdr:col>28</xdr:col>
      <xdr:colOff>0</xdr:colOff>
      <xdr:row>338</xdr:row>
      <xdr:rowOff>121227</xdr:rowOff>
    </xdr:to>
    <xdr:cxnSp macro="">
      <xdr:nvCxnSpPr>
        <xdr:cNvPr id="45" name="직선 연결선 44">
          <a:extLst>
            <a:ext uri="{FF2B5EF4-FFF2-40B4-BE49-F238E27FC236}">
              <a16:creationId xmlns:a16="http://schemas.microsoft.com/office/drawing/2014/main" id="{21D4E998-B7C9-4DD4-A26D-F8ECA0AF20DB}"/>
            </a:ext>
          </a:extLst>
        </xdr:cNvPr>
        <xdr:cNvCxnSpPr/>
      </xdr:nvCxnSpPr>
      <xdr:spPr>
        <a:xfrm flipH="1">
          <a:off x="19198936" y="72415977"/>
          <a:ext cx="3464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779318</xdr:colOff>
      <xdr:row>49</xdr:row>
      <xdr:rowOff>121227</xdr:rowOff>
    </xdr:from>
    <xdr:to>
      <xdr:col>27</xdr:col>
      <xdr:colOff>779318</xdr:colOff>
      <xdr:row>338</xdr:row>
      <xdr:rowOff>138545</xdr:rowOff>
    </xdr:to>
    <xdr:cxnSp macro="">
      <xdr:nvCxnSpPr>
        <xdr:cNvPr id="46" name="직선 연결선 45">
          <a:extLst>
            <a:ext uri="{FF2B5EF4-FFF2-40B4-BE49-F238E27FC236}">
              <a16:creationId xmlns:a16="http://schemas.microsoft.com/office/drawing/2014/main" id="{0DA66FC6-A7A4-42EC-A054-19B0F152969C}"/>
            </a:ext>
          </a:extLst>
        </xdr:cNvPr>
        <xdr:cNvCxnSpPr/>
      </xdr:nvCxnSpPr>
      <xdr:spPr>
        <a:xfrm flipV="1">
          <a:off x="19200668" y="10389177"/>
          <a:ext cx="0" cy="62044118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813955</xdr:colOff>
      <xdr:row>49</xdr:row>
      <xdr:rowOff>121227</xdr:rowOff>
    </xdr:from>
    <xdr:to>
      <xdr:col>27</xdr:col>
      <xdr:colOff>796636</xdr:colOff>
      <xdr:row>49</xdr:row>
      <xdr:rowOff>121227</xdr:rowOff>
    </xdr:to>
    <xdr:cxnSp macro="">
      <xdr:nvCxnSpPr>
        <xdr:cNvPr id="47" name="직선 연결선 46">
          <a:extLst>
            <a:ext uri="{FF2B5EF4-FFF2-40B4-BE49-F238E27FC236}">
              <a16:creationId xmlns:a16="http://schemas.microsoft.com/office/drawing/2014/main" id="{AA559D3D-D8C5-44D6-8CA2-670231E59F73}"/>
            </a:ext>
          </a:extLst>
        </xdr:cNvPr>
        <xdr:cNvCxnSpPr/>
      </xdr:nvCxnSpPr>
      <xdr:spPr>
        <a:xfrm flipH="1">
          <a:off x="15777730" y="10389177"/>
          <a:ext cx="3421206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888321</xdr:colOff>
      <xdr:row>338</xdr:row>
      <xdr:rowOff>138545</xdr:rowOff>
    </xdr:from>
    <xdr:to>
      <xdr:col>30</xdr:col>
      <xdr:colOff>1932321</xdr:colOff>
      <xdr:row>338</xdr:row>
      <xdr:rowOff>138545</xdr:rowOff>
    </xdr:to>
    <xdr:cxnSp macro="">
      <xdr:nvCxnSpPr>
        <xdr:cNvPr id="48" name="직선 연결선 47">
          <a:extLst>
            <a:ext uri="{FF2B5EF4-FFF2-40B4-BE49-F238E27FC236}">
              <a16:creationId xmlns:a16="http://schemas.microsoft.com/office/drawing/2014/main" id="{4AC78507-9F0F-4152-A244-47FB7EED31F5}"/>
            </a:ext>
          </a:extLst>
        </xdr:cNvPr>
        <xdr:cNvCxnSpPr/>
      </xdr:nvCxnSpPr>
      <xdr:spPr>
        <a:xfrm flipH="1">
          <a:off x="21262296" y="72433295"/>
          <a:ext cx="0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883228</xdr:colOff>
      <xdr:row>49</xdr:row>
      <xdr:rowOff>97797</xdr:rowOff>
    </xdr:from>
    <xdr:to>
      <xdr:col>30</xdr:col>
      <xdr:colOff>883228</xdr:colOff>
      <xdr:row>338</xdr:row>
      <xdr:rowOff>145676</xdr:rowOff>
    </xdr:to>
    <xdr:cxnSp macro="">
      <xdr:nvCxnSpPr>
        <xdr:cNvPr id="49" name="직선 연결선 48">
          <a:extLst>
            <a:ext uri="{FF2B5EF4-FFF2-40B4-BE49-F238E27FC236}">
              <a16:creationId xmlns:a16="http://schemas.microsoft.com/office/drawing/2014/main" id="{0948DA2E-8B7D-49B2-B689-67A1662ACCAE}"/>
            </a:ext>
          </a:extLst>
        </xdr:cNvPr>
        <xdr:cNvCxnSpPr/>
      </xdr:nvCxnSpPr>
      <xdr:spPr>
        <a:xfrm flipV="1">
          <a:off x="21257203" y="10365747"/>
          <a:ext cx="0" cy="62074679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762000</xdr:colOff>
      <xdr:row>49</xdr:row>
      <xdr:rowOff>121227</xdr:rowOff>
    </xdr:from>
    <xdr:to>
      <xdr:col>30</xdr:col>
      <xdr:colOff>917864</xdr:colOff>
      <xdr:row>49</xdr:row>
      <xdr:rowOff>121227</xdr:rowOff>
    </xdr:to>
    <xdr:cxnSp macro="">
      <xdr:nvCxnSpPr>
        <xdr:cNvPr id="50" name="직선 연결선 49">
          <a:extLst>
            <a:ext uri="{FF2B5EF4-FFF2-40B4-BE49-F238E27FC236}">
              <a16:creationId xmlns:a16="http://schemas.microsoft.com/office/drawing/2014/main" id="{2EDB4B11-96BD-4CEA-BE6F-50CE39625174}"/>
            </a:ext>
          </a:extLst>
        </xdr:cNvPr>
        <xdr:cNvCxnSpPr/>
      </xdr:nvCxnSpPr>
      <xdr:spPr>
        <a:xfrm flipH="1">
          <a:off x="19202400" y="10389177"/>
          <a:ext cx="2060864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56</xdr:row>
      <xdr:rowOff>119063</xdr:rowOff>
    </xdr:from>
    <xdr:to>
      <xdr:col>35</xdr:col>
      <xdr:colOff>1918609</xdr:colOff>
      <xdr:row>337</xdr:row>
      <xdr:rowOff>85045</xdr:rowOff>
    </xdr:to>
    <xdr:grpSp>
      <xdr:nvGrpSpPr>
        <xdr:cNvPr id="51" name="그룹 50">
          <a:extLst>
            <a:ext uri="{FF2B5EF4-FFF2-40B4-BE49-F238E27FC236}">
              <a16:creationId xmlns:a16="http://schemas.microsoft.com/office/drawing/2014/main" id="{CBB5F5A0-66CA-44AC-A25F-6A513976FE13}"/>
            </a:ext>
          </a:extLst>
        </xdr:cNvPr>
        <xdr:cNvGrpSpPr/>
      </xdr:nvGrpSpPr>
      <xdr:grpSpPr>
        <a:xfrm>
          <a:off x="48339375" y="10787063"/>
          <a:ext cx="21444859" cy="26064482"/>
          <a:chOff x="48339375" y="10787063"/>
          <a:chExt cx="21444859" cy="14824982"/>
        </a:xfrm>
      </xdr:grpSpPr>
      <xdr:cxnSp macro="">
        <xdr:nvCxnSpPr>
          <xdr:cNvPr id="52" name="직선 연결선 51">
            <a:extLst>
              <a:ext uri="{FF2B5EF4-FFF2-40B4-BE49-F238E27FC236}">
                <a16:creationId xmlns:a16="http://schemas.microsoft.com/office/drawing/2014/main" id="{701F3D79-3167-1674-82A5-60350EBC81D2}"/>
              </a:ext>
            </a:extLst>
          </xdr:cNvPr>
          <xdr:cNvCxnSpPr/>
        </xdr:nvCxnSpPr>
        <xdr:spPr>
          <a:xfrm flipH="1">
            <a:off x="68103751" y="25612045"/>
            <a:ext cx="1680483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7B3431FB-3DF7-7F3D-541B-BC5DA0EE4173}"/>
              </a:ext>
            </a:extLst>
          </xdr:cNvPr>
          <xdr:cNvCxnSpPr/>
        </xdr:nvCxnSpPr>
        <xdr:spPr>
          <a:xfrm flipV="1">
            <a:off x="68094225" y="10810875"/>
            <a:ext cx="0" cy="14792325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화살표 연결선 53">
            <a:extLst>
              <a:ext uri="{FF2B5EF4-FFF2-40B4-BE49-F238E27FC236}">
                <a16:creationId xmlns:a16="http://schemas.microsoft.com/office/drawing/2014/main" id="{EE8CE195-3744-499E-FF7B-A7AAD843B4F5}"/>
              </a:ext>
            </a:extLst>
          </xdr:cNvPr>
          <xdr:cNvCxnSpPr/>
        </xdr:nvCxnSpPr>
        <xdr:spPr>
          <a:xfrm flipH="1">
            <a:off x="48339375" y="10787063"/>
            <a:ext cx="19740562" cy="0"/>
          </a:xfrm>
          <a:prstGeom prst="straightConnector1">
            <a:avLst/>
          </a:prstGeom>
          <a:ln w="1270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35</xdr:col>
      <xdr:colOff>571500</xdr:colOff>
      <xdr:row>339</xdr:row>
      <xdr:rowOff>119682</xdr:rowOff>
    </xdr:from>
    <xdr:to>
      <xdr:col>35</xdr:col>
      <xdr:colOff>1914278</xdr:colOff>
      <xdr:row>339</xdr:row>
      <xdr:rowOff>119682</xdr:rowOff>
    </xdr:to>
    <xdr:cxnSp macro="">
      <xdr:nvCxnSpPr>
        <xdr:cNvPr id="55" name="직선 연결선 54">
          <a:extLst>
            <a:ext uri="{FF2B5EF4-FFF2-40B4-BE49-F238E27FC236}">
              <a16:creationId xmlns:a16="http://schemas.microsoft.com/office/drawing/2014/main" id="{A14364C8-EE33-4570-9CC8-57B73D5421E5}"/>
            </a:ext>
          </a:extLst>
        </xdr:cNvPr>
        <xdr:cNvCxnSpPr/>
      </xdr:nvCxnSpPr>
      <xdr:spPr>
        <a:xfrm flipH="1">
          <a:off x="24574500" y="72623982"/>
          <a:ext cx="114053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352425</xdr:colOff>
      <xdr:row>167</xdr:row>
      <xdr:rowOff>186170</xdr:rowOff>
    </xdr:from>
    <xdr:to>
      <xdr:col>36</xdr:col>
      <xdr:colOff>352425</xdr:colOff>
      <xdr:row>551</xdr:row>
      <xdr:rowOff>161925</xdr:rowOff>
    </xdr:to>
    <xdr:cxnSp macro="">
      <xdr:nvCxnSpPr>
        <xdr:cNvPr id="56" name="직선 연결선 55">
          <a:extLst>
            <a:ext uri="{FF2B5EF4-FFF2-40B4-BE49-F238E27FC236}">
              <a16:creationId xmlns:a16="http://schemas.microsoft.com/office/drawing/2014/main" id="{F8BC9439-F558-4712-84A1-90FC860A3841}"/>
            </a:ext>
            <a:ext uri="{147F2762-F138-4A5C-976F-8EAC2B608ADB}">
              <a16:predDERef xmlns:a16="http://schemas.microsoft.com/office/drawing/2014/main" pred="{A14364C8-EE33-4570-9CC8-57B73D5421E5}"/>
            </a:ext>
          </a:extLst>
        </xdr:cNvPr>
        <xdr:cNvCxnSpPr/>
      </xdr:nvCxnSpPr>
      <xdr:spPr>
        <a:xfrm flipV="1">
          <a:off x="70170675" y="31999670"/>
          <a:ext cx="0" cy="34456255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4329</xdr:colOff>
      <xdr:row>18</xdr:row>
      <xdr:rowOff>171450</xdr:rowOff>
    </xdr:from>
    <xdr:to>
      <xdr:col>48</xdr:col>
      <xdr:colOff>1524000</xdr:colOff>
      <xdr:row>18</xdr:row>
      <xdr:rowOff>171450</xdr:rowOff>
    </xdr:to>
    <xdr:cxnSp macro="">
      <xdr:nvCxnSpPr>
        <xdr:cNvPr id="8" name="직선 연결선 56">
          <a:extLst>
            <a:ext uri="{FF2B5EF4-FFF2-40B4-BE49-F238E27FC236}">
              <a16:creationId xmlns:a16="http://schemas.microsoft.com/office/drawing/2014/main" id="{613B610E-89AD-4571-9E05-74A35149FF4B}"/>
            </a:ext>
            <a:ext uri="{147F2762-F138-4A5C-976F-8EAC2B608ADB}">
              <a16:predDERef xmlns:a16="http://schemas.microsoft.com/office/drawing/2014/main" pred="{F8BC9439-F558-4712-84A1-90FC860A3841}"/>
            </a:ext>
          </a:extLst>
        </xdr:cNvPr>
        <xdr:cNvCxnSpPr/>
      </xdr:nvCxnSpPr>
      <xdr:spPr>
        <a:xfrm flipH="1">
          <a:off x="58106829" y="3600450"/>
          <a:ext cx="36666921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1004454</xdr:colOff>
      <xdr:row>14</xdr:row>
      <xdr:rowOff>138545</xdr:rowOff>
    </xdr:from>
    <xdr:to>
      <xdr:col>16</xdr:col>
      <xdr:colOff>1004454</xdr:colOff>
      <xdr:row>22</xdr:row>
      <xdr:rowOff>121227</xdr:rowOff>
    </xdr:to>
    <xdr:cxnSp macro="">
      <xdr:nvCxnSpPr>
        <xdr:cNvPr id="58" name="직선 연결선 57">
          <a:extLst>
            <a:ext uri="{FF2B5EF4-FFF2-40B4-BE49-F238E27FC236}">
              <a16:creationId xmlns:a16="http://schemas.microsoft.com/office/drawing/2014/main" id="{2B7D720E-2127-4AE8-900A-49051A82E0A9}"/>
            </a:ext>
          </a:extLst>
        </xdr:cNvPr>
        <xdr:cNvCxnSpPr/>
      </xdr:nvCxnSpPr>
      <xdr:spPr>
        <a:xfrm>
          <a:off x="11662929" y="3072245"/>
          <a:ext cx="0" cy="1659082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22</xdr:row>
      <xdr:rowOff>103909</xdr:rowOff>
    </xdr:from>
    <xdr:to>
      <xdr:col>16</xdr:col>
      <xdr:colOff>1004454</xdr:colOff>
      <xdr:row>22</xdr:row>
      <xdr:rowOff>103909</xdr:rowOff>
    </xdr:to>
    <xdr:cxnSp macro="">
      <xdr:nvCxnSpPr>
        <xdr:cNvPr id="59" name="직선 화살표 연결선 58">
          <a:extLst>
            <a:ext uri="{FF2B5EF4-FFF2-40B4-BE49-F238E27FC236}">
              <a16:creationId xmlns:a16="http://schemas.microsoft.com/office/drawing/2014/main" id="{43AEB0EC-7B17-43E4-A571-E96D0E5F5C5E}"/>
            </a:ext>
          </a:extLst>
        </xdr:cNvPr>
        <xdr:cNvCxnSpPr/>
      </xdr:nvCxnSpPr>
      <xdr:spPr>
        <a:xfrm flipH="1">
          <a:off x="10972800" y="4714009"/>
          <a:ext cx="690129" cy="0"/>
        </a:xfrm>
        <a:prstGeom prst="straightConnector1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987136</xdr:colOff>
      <xdr:row>22</xdr:row>
      <xdr:rowOff>103909</xdr:rowOff>
    </xdr:from>
    <xdr:to>
      <xdr:col>17</xdr:col>
      <xdr:colOff>0</xdr:colOff>
      <xdr:row>22</xdr:row>
      <xdr:rowOff>103909</xdr:rowOff>
    </xdr:to>
    <xdr:cxnSp macro="">
      <xdr:nvCxnSpPr>
        <xdr:cNvPr id="60" name="직선 화살표 연결선 59">
          <a:extLst>
            <a:ext uri="{FF2B5EF4-FFF2-40B4-BE49-F238E27FC236}">
              <a16:creationId xmlns:a16="http://schemas.microsoft.com/office/drawing/2014/main" id="{B552DE1E-2CCE-4F74-AC02-B4E0D87DE7E0}"/>
            </a:ext>
          </a:extLst>
        </xdr:cNvPr>
        <xdr:cNvCxnSpPr/>
      </xdr:nvCxnSpPr>
      <xdr:spPr>
        <a:xfrm>
          <a:off x="11655136" y="4714009"/>
          <a:ext cx="3464" cy="0"/>
        </a:xfrm>
        <a:prstGeom prst="straightConnector1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762000</xdr:colOff>
      <xdr:row>49</xdr:row>
      <xdr:rowOff>121894</xdr:rowOff>
    </xdr:from>
    <xdr:to>
      <xdr:col>36</xdr:col>
      <xdr:colOff>0</xdr:colOff>
      <xdr:row>338</xdr:row>
      <xdr:rowOff>86591</xdr:rowOff>
    </xdr:to>
    <xdr:grpSp>
      <xdr:nvGrpSpPr>
        <xdr:cNvPr id="61" name="그룹 60">
          <a:extLst>
            <a:ext uri="{FF2B5EF4-FFF2-40B4-BE49-F238E27FC236}">
              <a16:creationId xmlns:a16="http://schemas.microsoft.com/office/drawing/2014/main" id="{4838E801-A6A0-4F96-B455-7396619F2BED}"/>
            </a:ext>
          </a:extLst>
        </xdr:cNvPr>
        <xdr:cNvGrpSpPr/>
      </xdr:nvGrpSpPr>
      <xdr:grpSpPr>
        <a:xfrm>
          <a:off x="43243500" y="9456394"/>
          <a:ext cx="26574750" cy="27587197"/>
          <a:chOff x="43330091" y="9456394"/>
          <a:chExt cx="26635364" cy="16347697"/>
        </a:xfrm>
      </xdr:grpSpPr>
      <xdr:cxnSp macro="">
        <xdr:nvCxnSpPr>
          <xdr:cNvPr id="62" name="직선 연결선 61">
            <a:extLst>
              <a:ext uri="{FF2B5EF4-FFF2-40B4-BE49-F238E27FC236}">
                <a16:creationId xmlns:a16="http://schemas.microsoft.com/office/drawing/2014/main" id="{4CB93D5D-29D2-2222-9E68-1BD8294222AF}"/>
              </a:ext>
            </a:extLst>
          </xdr:cNvPr>
          <xdr:cNvCxnSpPr/>
        </xdr:nvCxnSpPr>
        <xdr:spPr>
          <a:xfrm flipV="1">
            <a:off x="68239298" y="9456394"/>
            <a:ext cx="0" cy="16347697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>
            <a:extLst>
              <a:ext uri="{FF2B5EF4-FFF2-40B4-BE49-F238E27FC236}">
                <a16:creationId xmlns:a16="http://schemas.microsoft.com/office/drawing/2014/main" id="{BDD9F18F-C533-1347-ADC7-C6DB6734E6B8}"/>
              </a:ext>
            </a:extLst>
          </xdr:cNvPr>
          <xdr:cNvCxnSpPr/>
        </xdr:nvCxnSpPr>
        <xdr:spPr>
          <a:xfrm>
            <a:off x="43330091" y="9460057"/>
            <a:ext cx="24916534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직선 연결선 63">
            <a:extLst>
              <a:ext uri="{FF2B5EF4-FFF2-40B4-BE49-F238E27FC236}">
                <a16:creationId xmlns:a16="http://schemas.microsoft.com/office/drawing/2014/main" id="{77B8077A-E419-0542-BBEB-5204743A3683}"/>
              </a:ext>
            </a:extLst>
          </xdr:cNvPr>
          <xdr:cNvCxnSpPr/>
        </xdr:nvCxnSpPr>
        <xdr:spPr>
          <a:xfrm>
            <a:off x="68233637" y="25786773"/>
            <a:ext cx="1731818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35</xdr:col>
      <xdr:colOff>248330</xdr:colOff>
      <xdr:row>159</xdr:row>
      <xdr:rowOff>119062</xdr:rowOff>
    </xdr:from>
    <xdr:to>
      <xdr:col>36</xdr:col>
      <xdr:colOff>13608</xdr:colOff>
      <xdr:row>159</xdr:row>
      <xdr:rowOff>119062</xdr:rowOff>
    </xdr:to>
    <xdr:cxnSp macro="">
      <xdr:nvCxnSpPr>
        <xdr:cNvPr id="65" name="직선 연결선 64">
          <a:extLst>
            <a:ext uri="{FF2B5EF4-FFF2-40B4-BE49-F238E27FC236}">
              <a16:creationId xmlns:a16="http://schemas.microsoft.com/office/drawing/2014/main" id="{38AFA5A1-F3E0-4E95-87F7-481AE300072D}"/>
            </a:ext>
          </a:extLst>
        </xdr:cNvPr>
        <xdr:cNvCxnSpPr/>
      </xdr:nvCxnSpPr>
      <xdr:spPr>
        <a:xfrm flipH="1">
          <a:off x="24251330" y="34904362"/>
          <a:ext cx="451078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248330</xdr:colOff>
      <xdr:row>160</xdr:row>
      <xdr:rowOff>142875</xdr:rowOff>
    </xdr:from>
    <xdr:to>
      <xdr:col>36</xdr:col>
      <xdr:colOff>10205</xdr:colOff>
      <xdr:row>160</xdr:row>
      <xdr:rowOff>142875</xdr:rowOff>
    </xdr:to>
    <xdr:cxnSp macro="">
      <xdr:nvCxnSpPr>
        <xdr:cNvPr id="66" name="직선 연결선 65">
          <a:extLst>
            <a:ext uri="{FF2B5EF4-FFF2-40B4-BE49-F238E27FC236}">
              <a16:creationId xmlns:a16="http://schemas.microsoft.com/office/drawing/2014/main" id="{6CF94263-35E5-425B-9EF2-5BF753CE2A28}"/>
            </a:ext>
          </a:extLst>
        </xdr:cNvPr>
        <xdr:cNvCxnSpPr/>
      </xdr:nvCxnSpPr>
      <xdr:spPr>
        <a:xfrm flipH="1">
          <a:off x="24251330" y="35137725"/>
          <a:ext cx="447675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568098</xdr:colOff>
      <xdr:row>161</xdr:row>
      <xdr:rowOff>129268</xdr:rowOff>
    </xdr:from>
    <xdr:to>
      <xdr:col>36</xdr:col>
      <xdr:colOff>0</xdr:colOff>
      <xdr:row>161</xdr:row>
      <xdr:rowOff>129268</xdr:rowOff>
    </xdr:to>
    <xdr:cxnSp macro="">
      <xdr:nvCxnSpPr>
        <xdr:cNvPr id="67" name="직선 연결선 66">
          <a:extLst>
            <a:ext uri="{FF2B5EF4-FFF2-40B4-BE49-F238E27FC236}">
              <a16:creationId xmlns:a16="http://schemas.microsoft.com/office/drawing/2014/main" id="{DE798659-606F-4AD9-A003-83B8E7FBAA21}"/>
            </a:ext>
          </a:extLst>
        </xdr:cNvPr>
        <xdr:cNvCxnSpPr/>
      </xdr:nvCxnSpPr>
      <xdr:spPr>
        <a:xfrm flipH="1">
          <a:off x="24571098" y="35333668"/>
          <a:ext cx="117702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570819</xdr:colOff>
      <xdr:row>162</xdr:row>
      <xdr:rowOff>104775</xdr:rowOff>
    </xdr:from>
    <xdr:to>
      <xdr:col>35</xdr:col>
      <xdr:colOff>1958747</xdr:colOff>
      <xdr:row>162</xdr:row>
      <xdr:rowOff>104775</xdr:rowOff>
    </xdr:to>
    <xdr:cxnSp macro="">
      <xdr:nvCxnSpPr>
        <xdr:cNvPr id="68" name="직선 연결선 67">
          <a:extLst>
            <a:ext uri="{FF2B5EF4-FFF2-40B4-BE49-F238E27FC236}">
              <a16:creationId xmlns:a16="http://schemas.microsoft.com/office/drawing/2014/main" id="{8624F6F9-9D80-4D4C-8345-5AE65FACC931}"/>
            </a:ext>
          </a:extLst>
        </xdr:cNvPr>
        <xdr:cNvCxnSpPr/>
      </xdr:nvCxnSpPr>
      <xdr:spPr>
        <a:xfrm flipH="1">
          <a:off x="24573819" y="35518725"/>
          <a:ext cx="111578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911678</xdr:colOff>
      <xdr:row>160</xdr:row>
      <xdr:rowOff>113805</xdr:rowOff>
    </xdr:from>
    <xdr:to>
      <xdr:col>40</xdr:col>
      <xdr:colOff>1945820</xdr:colOff>
      <xdr:row>160</xdr:row>
      <xdr:rowOff>113805</xdr:rowOff>
    </xdr:to>
    <xdr:cxnSp macro="">
      <xdr:nvCxnSpPr>
        <xdr:cNvPr id="69" name="직선 연결선 68">
          <a:extLst>
            <a:ext uri="{FF2B5EF4-FFF2-40B4-BE49-F238E27FC236}">
              <a16:creationId xmlns:a16="http://schemas.microsoft.com/office/drawing/2014/main" id="{476D5F94-8DE5-449B-AD16-256232BA1ED6}"/>
            </a:ext>
          </a:extLst>
        </xdr:cNvPr>
        <xdr:cNvCxnSpPr/>
      </xdr:nvCxnSpPr>
      <xdr:spPr>
        <a:xfrm flipH="1">
          <a:off x="27429278" y="35108655"/>
          <a:ext cx="691242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914400</xdr:colOff>
      <xdr:row>14</xdr:row>
      <xdr:rowOff>114300</xdr:rowOff>
    </xdr:from>
    <xdr:to>
      <xdr:col>39</xdr:col>
      <xdr:colOff>914400</xdr:colOff>
      <xdr:row>161</xdr:row>
      <xdr:rowOff>108857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9E0839D8-076E-45D7-9914-BE37B64C6485}"/>
            </a:ext>
          </a:extLst>
        </xdr:cNvPr>
        <xdr:cNvCxnSpPr/>
      </xdr:nvCxnSpPr>
      <xdr:spPr>
        <a:xfrm flipV="1">
          <a:off x="27432000" y="3048000"/>
          <a:ext cx="0" cy="32265257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571500</xdr:colOff>
      <xdr:row>14</xdr:row>
      <xdr:rowOff>114300</xdr:rowOff>
    </xdr:from>
    <xdr:to>
      <xdr:col>39</xdr:col>
      <xdr:colOff>990600</xdr:colOff>
      <xdr:row>14</xdr:row>
      <xdr:rowOff>114300</xdr:rowOff>
    </xdr:to>
    <xdr:cxnSp macro="">
      <xdr:nvCxnSpPr>
        <xdr:cNvPr id="71" name="직선 연결선 70">
          <a:extLst>
            <a:ext uri="{FF2B5EF4-FFF2-40B4-BE49-F238E27FC236}">
              <a16:creationId xmlns:a16="http://schemas.microsoft.com/office/drawing/2014/main" id="{BDFBF57F-8317-4D8C-A661-4BEC23B1B098}"/>
            </a:ext>
          </a:extLst>
        </xdr:cNvPr>
        <xdr:cNvCxnSpPr/>
      </xdr:nvCxnSpPr>
      <xdr:spPr>
        <a:xfrm>
          <a:off x="24574500" y="3048000"/>
          <a:ext cx="2857500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928008</xdr:colOff>
      <xdr:row>161</xdr:row>
      <xdr:rowOff>102919</xdr:rowOff>
    </xdr:from>
    <xdr:to>
      <xdr:col>41</xdr:col>
      <xdr:colOff>2722</xdr:colOff>
      <xdr:row>161</xdr:row>
      <xdr:rowOff>102919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3D719C72-6707-496B-BA71-F4A319E46E88}"/>
            </a:ext>
          </a:extLst>
        </xdr:cNvPr>
        <xdr:cNvCxnSpPr/>
      </xdr:nvCxnSpPr>
      <xdr:spPr>
        <a:xfrm flipH="1">
          <a:off x="27436083" y="35307319"/>
          <a:ext cx="684439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290698</xdr:colOff>
      <xdr:row>159</xdr:row>
      <xdr:rowOff>86591</xdr:rowOff>
    </xdr:from>
    <xdr:to>
      <xdr:col>40</xdr:col>
      <xdr:colOff>1953243</xdr:colOff>
      <xdr:row>159</xdr:row>
      <xdr:rowOff>86591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0AA45021-D3C8-43DB-8174-A6B4FAEAAC00}"/>
            </a:ext>
          </a:extLst>
        </xdr:cNvPr>
        <xdr:cNvCxnSpPr/>
      </xdr:nvCxnSpPr>
      <xdr:spPr>
        <a:xfrm flipH="1">
          <a:off x="76218555" y="19517591"/>
          <a:ext cx="3621974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304800</xdr:colOff>
      <xdr:row>49</xdr:row>
      <xdr:rowOff>142875</xdr:rowOff>
    </xdr:from>
    <xdr:to>
      <xdr:col>39</xdr:col>
      <xdr:colOff>304800</xdr:colOff>
      <xdr:row>159</xdr:row>
      <xdr:rowOff>114300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B26E50FD-D0D7-4452-9A2C-0211EC327D97}"/>
            </a:ext>
          </a:extLst>
        </xdr:cNvPr>
        <xdr:cNvCxnSpPr/>
      </xdr:nvCxnSpPr>
      <xdr:spPr>
        <a:xfrm flipV="1">
          <a:off x="27051000" y="10410825"/>
          <a:ext cx="0" cy="24488775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114300</xdr:colOff>
      <xdr:row>49</xdr:row>
      <xdr:rowOff>123824</xdr:rowOff>
    </xdr:from>
    <xdr:to>
      <xdr:col>39</xdr:col>
      <xdr:colOff>342900</xdr:colOff>
      <xdr:row>49</xdr:row>
      <xdr:rowOff>123824</xdr:rowOff>
    </xdr:to>
    <xdr:cxnSp macro="">
      <xdr:nvCxnSpPr>
        <xdr:cNvPr id="75" name="직선 연결선 74">
          <a:extLst>
            <a:ext uri="{FF2B5EF4-FFF2-40B4-BE49-F238E27FC236}">
              <a16:creationId xmlns:a16="http://schemas.microsoft.com/office/drawing/2014/main" id="{6DEA60CD-10B2-4355-9C5A-05761201DED5}"/>
            </a:ext>
          </a:extLst>
        </xdr:cNvPr>
        <xdr:cNvCxnSpPr/>
      </xdr:nvCxnSpPr>
      <xdr:spPr>
        <a:xfrm>
          <a:off x="24117300" y="10391774"/>
          <a:ext cx="2971800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299357</xdr:colOff>
      <xdr:row>337</xdr:row>
      <xdr:rowOff>108857</xdr:rowOff>
    </xdr:from>
    <xdr:to>
      <xdr:col>40</xdr:col>
      <xdr:colOff>1945821</xdr:colOff>
      <xdr:row>337</xdr:row>
      <xdr:rowOff>108857</xdr:rowOff>
    </xdr:to>
    <xdr:cxnSp macro="">
      <xdr:nvCxnSpPr>
        <xdr:cNvPr id="76" name="직선 연결선 75">
          <a:extLst>
            <a:ext uri="{FF2B5EF4-FFF2-40B4-BE49-F238E27FC236}">
              <a16:creationId xmlns:a16="http://schemas.microsoft.com/office/drawing/2014/main" id="{D5661204-97B7-419C-BBA5-AE8388E60CE9}"/>
            </a:ext>
          </a:extLst>
        </xdr:cNvPr>
        <xdr:cNvCxnSpPr/>
      </xdr:nvCxnSpPr>
      <xdr:spPr>
        <a:xfrm flipH="1">
          <a:off x="27045557" y="72194057"/>
          <a:ext cx="1074964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299357</xdr:colOff>
      <xdr:row>159</xdr:row>
      <xdr:rowOff>95250</xdr:rowOff>
    </xdr:from>
    <xdr:to>
      <xdr:col>39</xdr:col>
      <xdr:colOff>299357</xdr:colOff>
      <xdr:row>337</xdr:row>
      <xdr:rowOff>95250</xdr:rowOff>
    </xdr:to>
    <xdr:cxnSp macro="">
      <xdr:nvCxnSpPr>
        <xdr:cNvPr id="77" name="직선 연결선 76">
          <a:extLst>
            <a:ext uri="{FF2B5EF4-FFF2-40B4-BE49-F238E27FC236}">
              <a16:creationId xmlns:a16="http://schemas.microsoft.com/office/drawing/2014/main" id="{618949BD-C77A-457D-97FF-8E01A5608AEC}"/>
            </a:ext>
          </a:extLst>
        </xdr:cNvPr>
        <xdr:cNvCxnSpPr/>
      </xdr:nvCxnSpPr>
      <xdr:spPr>
        <a:xfrm>
          <a:off x="27045557" y="34880550"/>
          <a:ext cx="0" cy="3729990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911679</xdr:colOff>
      <xdr:row>338</xdr:row>
      <xdr:rowOff>108857</xdr:rowOff>
    </xdr:from>
    <xdr:to>
      <xdr:col>41</xdr:col>
      <xdr:colOff>0</xdr:colOff>
      <xdr:row>338</xdr:row>
      <xdr:rowOff>108857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5453E0AE-826A-4901-A6C0-955BA0268E62}"/>
            </a:ext>
          </a:extLst>
        </xdr:cNvPr>
        <xdr:cNvCxnSpPr/>
      </xdr:nvCxnSpPr>
      <xdr:spPr>
        <a:xfrm flipH="1">
          <a:off x="27429279" y="72403607"/>
          <a:ext cx="688521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925286</xdr:colOff>
      <xdr:row>339</xdr:row>
      <xdr:rowOff>108857</xdr:rowOff>
    </xdr:from>
    <xdr:to>
      <xdr:col>40</xdr:col>
      <xdr:colOff>1945821</xdr:colOff>
      <xdr:row>339</xdr:row>
      <xdr:rowOff>108857</xdr:rowOff>
    </xdr:to>
    <xdr:cxnSp macro="">
      <xdr:nvCxnSpPr>
        <xdr:cNvPr id="79" name="직선 연결선 78">
          <a:extLst>
            <a:ext uri="{FF2B5EF4-FFF2-40B4-BE49-F238E27FC236}">
              <a16:creationId xmlns:a16="http://schemas.microsoft.com/office/drawing/2014/main" id="{7BAE1BE9-F6D1-4E76-A9C3-A779096A505B}"/>
            </a:ext>
          </a:extLst>
        </xdr:cNvPr>
        <xdr:cNvCxnSpPr/>
      </xdr:nvCxnSpPr>
      <xdr:spPr>
        <a:xfrm flipH="1">
          <a:off x="27433361" y="72613157"/>
          <a:ext cx="687160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911679</xdr:colOff>
      <xdr:row>161</xdr:row>
      <xdr:rowOff>108857</xdr:rowOff>
    </xdr:from>
    <xdr:to>
      <xdr:col>39</xdr:col>
      <xdr:colOff>911679</xdr:colOff>
      <xdr:row>339</xdr:row>
      <xdr:rowOff>108857</xdr:rowOff>
    </xdr:to>
    <xdr:cxnSp macro="">
      <xdr:nvCxnSpPr>
        <xdr:cNvPr id="80" name="직선 연결선 79">
          <a:extLst>
            <a:ext uri="{FF2B5EF4-FFF2-40B4-BE49-F238E27FC236}">
              <a16:creationId xmlns:a16="http://schemas.microsoft.com/office/drawing/2014/main" id="{691A7348-B725-4496-836A-996529D34D1C}"/>
            </a:ext>
          </a:extLst>
        </xdr:cNvPr>
        <xdr:cNvCxnSpPr/>
      </xdr:nvCxnSpPr>
      <xdr:spPr>
        <a:xfrm>
          <a:off x="27429279" y="35313257"/>
          <a:ext cx="0" cy="3729990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1021773</xdr:colOff>
      <xdr:row>155</xdr:row>
      <xdr:rowOff>95250</xdr:rowOff>
    </xdr:from>
    <xdr:to>
      <xdr:col>45</xdr:col>
      <xdr:colOff>0</xdr:colOff>
      <xdr:row>155</xdr:row>
      <xdr:rowOff>95250</xdr:rowOff>
    </xdr:to>
    <xdr:cxnSp macro="">
      <xdr:nvCxnSpPr>
        <xdr:cNvPr id="81" name="직선 연결선 80">
          <a:extLst>
            <a:ext uri="{FF2B5EF4-FFF2-40B4-BE49-F238E27FC236}">
              <a16:creationId xmlns:a16="http://schemas.microsoft.com/office/drawing/2014/main" id="{29F1943C-9D2A-4300-85BA-9744790303B2}"/>
            </a:ext>
          </a:extLst>
        </xdr:cNvPr>
        <xdr:cNvCxnSpPr/>
      </xdr:nvCxnSpPr>
      <xdr:spPr>
        <a:xfrm flipH="1">
          <a:off x="30863598" y="34042350"/>
          <a:ext cx="683202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1028700</xdr:colOff>
      <xdr:row>49</xdr:row>
      <xdr:rowOff>138545</xdr:rowOff>
    </xdr:from>
    <xdr:to>
      <xdr:col>43</xdr:col>
      <xdr:colOff>1028700</xdr:colOff>
      <xdr:row>157</xdr:row>
      <xdr:rowOff>103909</xdr:rowOff>
    </xdr:to>
    <xdr:cxnSp macro="">
      <xdr:nvCxnSpPr>
        <xdr:cNvPr id="82" name="직선 연결선 81">
          <a:extLst>
            <a:ext uri="{FF2B5EF4-FFF2-40B4-BE49-F238E27FC236}">
              <a16:creationId xmlns:a16="http://schemas.microsoft.com/office/drawing/2014/main" id="{B541C604-42DA-4802-980E-42BCF764F3D7}"/>
            </a:ext>
          </a:extLst>
        </xdr:cNvPr>
        <xdr:cNvCxnSpPr/>
      </xdr:nvCxnSpPr>
      <xdr:spPr>
        <a:xfrm flipV="1">
          <a:off x="30861000" y="10406495"/>
          <a:ext cx="0" cy="24063614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228600</xdr:colOff>
      <xdr:row>49</xdr:row>
      <xdr:rowOff>127907</xdr:rowOff>
    </xdr:from>
    <xdr:to>
      <xdr:col>43</xdr:col>
      <xdr:colOff>1066800</xdr:colOff>
      <xdr:row>49</xdr:row>
      <xdr:rowOff>127907</xdr:rowOff>
    </xdr:to>
    <xdr:cxnSp macro="">
      <xdr:nvCxnSpPr>
        <xdr:cNvPr id="83" name="직선 연결선 82">
          <a:extLst>
            <a:ext uri="{FF2B5EF4-FFF2-40B4-BE49-F238E27FC236}">
              <a16:creationId xmlns:a16="http://schemas.microsoft.com/office/drawing/2014/main" id="{B784A7AB-0C9A-4796-B67E-4C0CF563DDF0}"/>
            </a:ext>
          </a:extLst>
        </xdr:cNvPr>
        <xdr:cNvCxnSpPr/>
      </xdr:nvCxnSpPr>
      <xdr:spPr>
        <a:xfrm>
          <a:off x="26974800" y="10395857"/>
          <a:ext cx="3886200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1039091</xdr:colOff>
      <xdr:row>157</xdr:row>
      <xdr:rowOff>107620</xdr:rowOff>
    </xdr:from>
    <xdr:to>
      <xdr:col>45</xdr:col>
      <xdr:colOff>0</xdr:colOff>
      <xdr:row>157</xdr:row>
      <xdr:rowOff>107620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4ECDC25-FDA2-4BFC-B220-30021722B620}"/>
            </a:ext>
          </a:extLst>
        </xdr:cNvPr>
        <xdr:cNvCxnSpPr/>
      </xdr:nvCxnSpPr>
      <xdr:spPr>
        <a:xfrm flipH="1">
          <a:off x="30861866" y="34473820"/>
          <a:ext cx="684934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0</xdr:colOff>
      <xdr:row>156</xdr:row>
      <xdr:rowOff>76200</xdr:rowOff>
    </xdr:from>
    <xdr:to>
      <xdr:col>45</xdr:col>
      <xdr:colOff>0</xdr:colOff>
      <xdr:row>156</xdr:row>
      <xdr:rowOff>76200</xdr:rowOff>
    </xdr:to>
    <xdr:cxnSp macro="">
      <xdr:nvCxnSpPr>
        <xdr:cNvPr id="85" name="직선 연결선 84">
          <a:extLst>
            <a:ext uri="{FF2B5EF4-FFF2-40B4-BE49-F238E27FC236}">
              <a16:creationId xmlns:a16="http://schemas.microsoft.com/office/drawing/2014/main" id="{D0F735FF-1078-4A97-B1EA-8422984A3A51}"/>
            </a:ext>
            <a:ext uri="{147F2762-F138-4A5C-976F-8EAC2B608ADB}">
              <a16:predDERef xmlns:a16="http://schemas.microsoft.com/office/drawing/2014/main" pred="{94ECDC25-FDA2-4BFC-B220-30021722B620}"/>
            </a:ext>
          </a:extLst>
        </xdr:cNvPr>
        <xdr:cNvCxnSpPr/>
      </xdr:nvCxnSpPr>
      <xdr:spPr>
        <a:xfrm flipH="1">
          <a:off x="30175200" y="34232850"/>
          <a:ext cx="1371600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914400</xdr:colOff>
      <xdr:row>14</xdr:row>
      <xdr:rowOff>111579</xdr:rowOff>
    </xdr:from>
    <xdr:to>
      <xdr:col>43</xdr:col>
      <xdr:colOff>0</xdr:colOff>
      <xdr:row>14</xdr:row>
      <xdr:rowOff>111579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4829D7BB-3A19-47B2-AEA3-04D4D9C7D1C5}"/>
            </a:ext>
            <a:ext uri="{147F2762-F138-4A5C-976F-8EAC2B608ADB}">
              <a16:predDERef xmlns:a16="http://schemas.microsoft.com/office/drawing/2014/main" pred="{D0F735FF-1078-4A97-B1EA-8422984A3A51}"/>
            </a:ext>
          </a:extLst>
        </xdr:cNvPr>
        <xdr:cNvCxnSpPr/>
      </xdr:nvCxnSpPr>
      <xdr:spPr>
        <a:xfrm>
          <a:off x="27432000" y="3045279"/>
          <a:ext cx="2739118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</xdr:colOff>
      <xdr:row>168</xdr:row>
      <xdr:rowOff>4761</xdr:rowOff>
    </xdr:from>
    <xdr:to>
      <xdr:col>19</xdr:col>
      <xdr:colOff>1095375</xdr:colOff>
      <xdr:row>508</xdr:row>
      <xdr:rowOff>47625</xdr:rowOff>
    </xdr:to>
    <xdr:grpSp>
      <xdr:nvGrpSpPr>
        <xdr:cNvPr id="98" name="그룹 97">
          <a:extLst>
            <a:ext uri="{FF2B5EF4-FFF2-40B4-BE49-F238E27FC236}">
              <a16:creationId xmlns:a16="http://schemas.microsoft.com/office/drawing/2014/main" id="{C585371E-2990-86C2-1766-DAE92A0D9EA4}"/>
            </a:ext>
          </a:extLst>
        </xdr:cNvPr>
        <xdr:cNvGrpSpPr/>
      </xdr:nvGrpSpPr>
      <xdr:grpSpPr>
        <a:xfrm>
          <a:off x="11306175" y="32008761"/>
          <a:ext cx="26412825" cy="26141364"/>
          <a:chOff x="13213773" y="10777536"/>
          <a:chExt cx="26469109" cy="14901864"/>
        </a:xfrm>
      </xdr:grpSpPr>
      <xdr:cxnSp macro="">
        <xdr:nvCxnSpPr>
          <xdr:cNvPr id="88" name="직선 연결선 87">
            <a:extLst>
              <a:ext uri="{FF2B5EF4-FFF2-40B4-BE49-F238E27FC236}">
                <a16:creationId xmlns:a16="http://schemas.microsoft.com/office/drawing/2014/main" id="{072E0074-5473-45E1-9DD4-90D1AFF04806}"/>
              </a:ext>
            </a:extLst>
          </xdr:cNvPr>
          <xdr:cNvCxnSpPr/>
        </xdr:nvCxnSpPr>
        <xdr:spPr>
          <a:xfrm>
            <a:off x="13213773" y="25668328"/>
            <a:ext cx="3123766" cy="0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" name="직선 연결선 88">
            <a:extLst>
              <a:ext uri="{FF2B5EF4-FFF2-40B4-BE49-F238E27FC236}">
                <a16:creationId xmlns:a16="http://schemas.microsoft.com/office/drawing/2014/main" id="{0E0CF777-06E7-4F39-895C-C4E4C3A9DEC4}"/>
              </a:ext>
            </a:extLst>
          </xdr:cNvPr>
          <xdr:cNvCxnSpPr/>
        </xdr:nvCxnSpPr>
        <xdr:spPr>
          <a:xfrm flipV="1">
            <a:off x="16337539" y="10787062"/>
            <a:ext cx="0" cy="14892338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" name="직선 연결선 89">
            <a:extLst>
              <a:ext uri="{FF2B5EF4-FFF2-40B4-BE49-F238E27FC236}">
                <a16:creationId xmlns:a16="http://schemas.microsoft.com/office/drawing/2014/main" id="{9092A7B6-A3D2-4CCA-B318-B37D858E833A}"/>
              </a:ext>
            </a:extLst>
          </xdr:cNvPr>
          <xdr:cNvCxnSpPr/>
        </xdr:nvCxnSpPr>
        <xdr:spPr>
          <a:xfrm>
            <a:off x="16351827" y="10777536"/>
            <a:ext cx="23331055" cy="0"/>
          </a:xfrm>
          <a:prstGeom prst="line">
            <a:avLst/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9525</xdr:colOff>
      <xdr:row>412</xdr:row>
      <xdr:rowOff>104775</xdr:rowOff>
    </xdr:from>
    <xdr:to>
      <xdr:col>9</xdr:col>
      <xdr:colOff>700087</xdr:colOff>
      <xdr:row>412</xdr:row>
      <xdr:rowOff>104775</xdr:rowOff>
    </xdr:to>
    <xdr:cxnSp macro="">
      <xdr:nvCxnSpPr>
        <xdr:cNvPr id="92" name="직선 연결선 91">
          <a:extLst>
            <a:ext uri="{FF2B5EF4-FFF2-40B4-BE49-F238E27FC236}">
              <a16:creationId xmlns:a16="http://schemas.microsoft.com/office/drawing/2014/main" id="{2F256DDE-5E4E-48A8-7DE0-7285397A51CA}"/>
            </a:ext>
            <a:ext uri="{147F2762-F138-4A5C-976F-8EAC2B608ADB}">
              <a16:predDERef xmlns:a16="http://schemas.microsoft.com/office/drawing/2014/main" pred="{C585371E-2990-86C2-1766-DAE92A0D9EA4}"/>
            </a:ext>
          </a:extLst>
        </xdr:cNvPr>
        <xdr:cNvCxnSpPr/>
      </xdr:nvCxnSpPr>
      <xdr:spPr>
        <a:xfrm>
          <a:off x="13201650" y="29060775"/>
          <a:ext cx="4595812" cy="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700088</xdr:colOff>
      <xdr:row>37</xdr:row>
      <xdr:rowOff>119064</xdr:rowOff>
    </xdr:from>
    <xdr:to>
      <xdr:col>9</xdr:col>
      <xdr:colOff>700088</xdr:colOff>
      <xdr:row>412</xdr:row>
      <xdr:rowOff>119064</xdr:rowOff>
    </xdr:to>
    <xdr:cxnSp macro="">
      <xdr:nvCxnSpPr>
        <xdr:cNvPr id="94" name="직선 연결선 93">
          <a:extLst>
            <a:ext uri="{FF2B5EF4-FFF2-40B4-BE49-F238E27FC236}">
              <a16:creationId xmlns:a16="http://schemas.microsoft.com/office/drawing/2014/main" id="{BDB2239B-E726-9205-0842-EC5BA6FEFCDE}"/>
            </a:ext>
          </a:extLst>
        </xdr:cNvPr>
        <xdr:cNvCxnSpPr/>
      </xdr:nvCxnSpPr>
      <xdr:spPr>
        <a:xfrm flipV="1">
          <a:off x="17797463" y="7167564"/>
          <a:ext cx="0" cy="2152650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685800</xdr:colOff>
      <xdr:row>37</xdr:row>
      <xdr:rowOff>128588</xdr:rowOff>
    </xdr:from>
    <xdr:to>
      <xdr:col>17</xdr:col>
      <xdr:colOff>1295400</xdr:colOff>
      <xdr:row>37</xdr:row>
      <xdr:rowOff>128588</xdr:rowOff>
    </xdr:to>
    <xdr:cxnSp macro="">
      <xdr:nvCxnSpPr>
        <xdr:cNvPr id="96" name="직선 연결선 95">
          <a:extLst>
            <a:ext uri="{FF2B5EF4-FFF2-40B4-BE49-F238E27FC236}">
              <a16:creationId xmlns:a16="http://schemas.microsoft.com/office/drawing/2014/main" id="{8FCCD21D-1B67-4AD9-B2AB-25ECBCD8BC8E}"/>
            </a:ext>
          </a:extLst>
        </xdr:cNvPr>
        <xdr:cNvCxnSpPr/>
      </xdr:nvCxnSpPr>
      <xdr:spPr>
        <a:xfrm>
          <a:off x="17783175" y="7177088"/>
          <a:ext cx="16230600" cy="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1943100</xdr:colOff>
      <xdr:row>345</xdr:row>
      <xdr:rowOff>59748</xdr:rowOff>
    </xdr:from>
    <xdr:to>
      <xdr:col>8</xdr:col>
      <xdr:colOff>1824037</xdr:colOff>
      <xdr:row>345</xdr:row>
      <xdr:rowOff>59748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923B11D3-92F8-9E34-1F58-FE7E64F0410F}"/>
            </a:ext>
            <a:ext uri="{147F2762-F138-4A5C-976F-8EAC2B608ADB}">
              <a16:predDERef xmlns:a16="http://schemas.microsoft.com/office/drawing/2014/main" pred="{8FCCD21D-1B67-4AD9-B2AB-25ECBCD8BC8E}"/>
            </a:ext>
          </a:extLst>
        </xdr:cNvPr>
        <xdr:cNvCxnSpPr/>
      </xdr:nvCxnSpPr>
      <xdr:spPr>
        <a:xfrm>
          <a:off x="13182600" y="27491748"/>
          <a:ext cx="37861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1809750</xdr:colOff>
      <xdr:row>46</xdr:row>
      <xdr:rowOff>142875</xdr:rowOff>
    </xdr:from>
    <xdr:to>
      <xdr:col>8</xdr:col>
      <xdr:colOff>1809750</xdr:colOff>
      <xdr:row>345</xdr:row>
      <xdr:rowOff>47624</xdr:rowOff>
    </xdr:to>
    <xdr:cxnSp macro="">
      <xdr:nvCxnSpPr>
        <xdr:cNvPr id="110" name="직선 연결선 109">
          <a:extLst>
            <a:ext uri="{FF2B5EF4-FFF2-40B4-BE49-F238E27FC236}">
              <a16:creationId xmlns:a16="http://schemas.microsoft.com/office/drawing/2014/main" id="{69FC5987-F59F-19AB-D9A9-19DBF9C55F42}"/>
            </a:ext>
          </a:extLst>
        </xdr:cNvPr>
        <xdr:cNvCxnSpPr/>
      </xdr:nvCxnSpPr>
      <xdr:spPr>
        <a:xfrm flipV="1">
          <a:off x="16954500" y="8905875"/>
          <a:ext cx="0" cy="46005749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46</xdr:row>
      <xdr:rowOff>122464</xdr:rowOff>
    </xdr:from>
    <xdr:to>
      <xdr:col>8</xdr:col>
      <xdr:colOff>1833562</xdr:colOff>
      <xdr:row>46</xdr:row>
      <xdr:rowOff>122464</xdr:rowOff>
    </xdr:to>
    <xdr:cxnSp macro="">
      <xdr:nvCxnSpPr>
        <xdr:cNvPr id="113" name="직선 화살표 연결선 112">
          <a:extLst>
            <a:ext uri="{FF2B5EF4-FFF2-40B4-BE49-F238E27FC236}">
              <a16:creationId xmlns:a16="http://schemas.microsoft.com/office/drawing/2014/main" id="{20F51728-1AE2-B07C-419D-89B2D07690B0}"/>
            </a:ext>
          </a:extLst>
        </xdr:cNvPr>
        <xdr:cNvCxnSpPr/>
      </xdr:nvCxnSpPr>
      <xdr:spPr>
        <a:xfrm flipH="1">
          <a:off x="15185571" y="8885464"/>
          <a:ext cx="1833562" cy="0"/>
        </a:xfrm>
        <a:prstGeom prst="straightConnector1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1943100</xdr:colOff>
      <xdr:row>417</xdr:row>
      <xdr:rowOff>66675</xdr:rowOff>
    </xdr:from>
    <xdr:to>
      <xdr:col>20</xdr:col>
      <xdr:colOff>323850</xdr:colOff>
      <xdr:row>417</xdr:row>
      <xdr:rowOff>66675</xdr:rowOff>
    </xdr:to>
    <xdr:cxnSp macro="">
      <xdr:nvCxnSpPr>
        <xdr:cNvPr id="91" name="직선 연결선 90">
          <a:extLst>
            <a:ext uri="{FF2B5EF4-FFF2-40B4-BE49-F238E27FC236}">
              <a16:creationId xmlns:a16="http://schemas.microsoft.com/office/drawing/2014/main" id="{98467150-CCB7-4E88-94A1-42274558D828}"/>
            </a:ext>
            <a:ext uri="{147F2762-F138-4A5C-976F-8EAC2B608ADB}">
              <a16:predDERef xmlns:a16="http://schemas.microsoft.com/office/drawing/2014/main" pred="{20F51728-1AE2-B07C-419D-89B2D07690B0}"/>
            </a:ext>
          </a:extLst>
        </xdr:cNvPr>
        <xdr:cNvCxnSpPr>
          <a:cxnSpLocks/>
        </xdr:cNvCxnSpPr>
      </xdr:nvCxnSpPr>
      <xdr:spPr>
        <a:xfrm flipH="1">
          <a:off x="38566725" y="28641675"/>
          <a:ext cx="333375" cy="0"/>
        </a:xfrm>
        <a:prstGeom prst="line">
          <a:avLst/>
        </a:prstGeom>
        <a:ln w="127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1943100</xdr:colOff>
      <xdr:row>418</xdr:row>
      <xdr:rowOff>114300</xdr:rowOff>
    </xdr:from>
    <xdr:to>
      <xdr:col>20</xdr:col>
      <xdr:colOff>323850</xdr:colOff>
      <xdr:row>418</xdr:row>
      <xdr:rowOff>114300</xdr:rowOff>
    </xdr:to>
    <xdr:cxnSp macro="">
      <xdr:nvCxnSpPr>
        <xdr:cNvPr id="93" name="직선 연결선 92">
          <a:extLst>
            <a:ext uri="{FF2B5EF4-FFF2-40B4-BE49-F238E27FC236}">
              <a16:creationId xmlns:a16="http://schemas.microsoft.com/office/drawing/2014/main" id="{9D1841F3-624E-4B70-88DB-4E3AE6C425D3}"/>
            </a:ext>
            <a:ext uri="{147F2762-F138-4A5C-976F-8EAC2B608ADB}">
              <a16:predDERef xmlns:a16="http://schemas.microsoft.com/office/drawing/2014/main" pred="{98467150-CCB7-4E88-94A1-42274558D828}"/>
            </a:ext>
          </a:extLst>
        </xdr:cNvPr>
        <xdr:cNvCxnSpPr>
          <a:cxnSpLocks/>
        </xdr:cNvCxnSpPr>
      </xdr:nvCxnSpPr>
      <xdr:spPr>
        <a:xfrm flipH="1">
          <a:off x="38566725" y="28879800"/>
          <a:ext cx="333375" cy="0"/>
        </a:xfrm>
        <a:prstGeom prst="line">
          <a:avLst/>
        </a:prstGeom>
        <a:ln w="127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333375</xdr:colOff>
      <xdr:row>48</xdr:row>
      <xdr:rowOff>114300</xdr:rowOff>
    </xdr:from>
    <xdr:to>
      <xdr:col>20</xdr:col>
      <xdr:colOff>390525</xdr:colOff>
      <xdr:row>418</xdr:row>
      <xdr:rowOff>104775</xdr:rowOff>
    </xdr:to>
    <xdr:cxnSp macro="">
      <xdr:nvCxnSpPr>
        <xdr:cNvPr id="95" name="직선 연결선 94">
          <a:extLst>
            <a:ext uri="{FF2B5EF4-FFF2-40B4-BE49-F238E27FC236}">
              <a16:creationId xmlns:a16="http://schemas.microsoft.com/office/drawing/2014/main" id="{6DD5F57D-4AAA-4E0A-A2AE-555F7D09FC1C}"/>
            </a:ext>
            <a:ext uri="{147F2762-F138-4A5C-976F-8EAC2B608ADB}">
              <a16:predDERef xmlns:a16="http://schemas.microsoft.com/office/drawing/2014/main" pred="{9D1841F3-624E-4B70-88DB-4E3AE6C425D3}"/>
            </a:ext>
          </a:extLst>
        </xdr:cNvPr>
        <xdr:cNvCxnSpPr>
          <a:cxnSpLocks/>
        </xdr:cNvCxnSpPr>
      </xdr:nvCxnSpPr>
      <xdr:spPr>
        <a:xfrm flipV="1">
          <a:off x="38909625" y="9258300"/>
          <a:ext cx="57150" cy="19611975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123991</xdr:colOff>
      <xdr:row>47</xdr:row>
      <xdr:rowOff>44477</xdr:rowOff>
    </xdr:from>
    <xdr:to>
      <xdr:col>3</xdr:col>
      <xdr:colOff>1254236</xdr:colOff>
      <xdr:row>51</xdr:row>
      <xdr:rowOff>159026</xdr:rowOff>
    </xdr:to>
    <xdr:sp macro="" textlink="">
      <xdr:nvSpPr>
        <xdr:cNvPr id="146" name="직사각형 1">
          <a:extLst>
            <a:ext uri="{FF2B5EF4-FFF2-40B4-BE49-F238E27FC236}">
              <a16:creationId xmlns:a16="http://schemas.microsoft.com/office/drawing/2014/main" id="{953D9758-044E-C791-875C-EDBE435AFC17}"/>
            </a:ext>
          </a:extLst>
        </xdr:cNvPr>
        <xdr:cNvSpPr/>
      </xdr:nvSpPr>
      <xdr:spPr>
        <a:xfrm>
          <a:off x="813104" y="9612547"/>
          <a:ext cx="3217462" cy="96268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플랫폼 사업 특성치 필드 추가</a:t>
          </a:r>
          <a:endParaRPr lang="en-US" altLang="ko-KR" sz="1100"/>
        </a:p>
        <a:p>
          <a:pPr algn="l"/>
          <a:r>
            <a:rPr lang="ko-KR" altLang="en-US" sz="1100"/>
            <a:t>적용기술</a:t>
          </a:r>
          <a:r>
            <a:rPr lang="en-US" altLang="ko-KR" sz="1100"/>
            <a:t>,</a:t>
          </a:r>
          <a:r>
            <a:rPr lang="ko-KR" altLang="en-US" sz="1100"/>
            <a:t>브랜드명</a:t>
          </a:r>
          <a:r>
            <a:rPr lang="en-US" altLang="ko-KR" sz="1100"/>
            <a:t>,DP</a:t>
          </a:r>
          <a:r>
            <a:rPr lang="ko-KR" altLang="en-US" sz="1100"/>
            <a:t>명  원복검토 </a:t>
          </a:r>
          <a:endParaRPr lang="en-US" altLang="ko-KR" sz="1100"/>
        </a:p>
        <a:p>
          <a:pPr algn="l"/>
          <a:endParaRPr lang="en-US" altLang="ko-KR" sz="1100"/>
        </a:p>
        <a:p>
          <a:pPr algn="l"/>
          <a:r>
            <a:rPr lang="ko-KR" altLang="en-US" sz="1100"/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894521</xdr:colOff>
      <xdr:row>14</xdr:row>
      <xdr:rowOff>140803</xdr:rowOff>
    </xdr:from>
    <xdr:to>
      <xdr:col>10</xdr:col>
      <xdr:colOff>306457</xdr:colOff>
      <xdr:row>36</xdr:row>
      <xdr:rowOff>33131</xdr:rowOff>
    </xdr:to>
    <xdr:sp macro="" textlink="">
      <xdr:nvSpPr>
        <xdr:cNvPr id="4" name="직사각형 1">
          <a:extLst>
            <a:ext uri="{FF2B5EF4-FFF2-40B4-BE49-F238E27FC236}">
              <a16:creationId xmlns:a16="http://schemas.microsoft.com/office/drawing/2014/main" id="{95FF5708-74DA-4ABC-BEF1-96B84D146C9D}"/>
            </a:ext>
          </a:extLst>
        </xdr:cNvPr>
        <xdr:cNvSpPr/>
      </xdr:nvSpPr>
      <xdr:spPr>
        <a:xfrm>
          <a:off x="5276021" y="3331678"/>
          <a:ext cx="3231461" cy="45024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[</a:t>
          </a:r>
          <a:r>
            <a:rPr lang="ko-KR" altLang="en-US" sz="1100"/>
            <a:t>목표</a:t>
          </a:r>
          <a:r>
            <a:rPr lang="ko-KR" altLang="en-US" sz="1100" baseline="0"/>
            <a:t> 코드</a:t>
          </a:r>
          <a:r>
            <a:rPr lang="en-US" altLang="ko-KR" sz="1100" baseline="0"/>
            <a:t>]</a:t>
          </a:r>
        </a:p>
        <a:p>
          <a:pPr algn="l"/>
          <a:endParaRPr lang="en-US" altLang="ko-KR" sz="1100" baseline="0"/>
        </a:p>
        <a:p>
          <a:pPr algn="l"/>
          <a:r>
            <a:rPr lang="en-US" altLang="ko-KR" sz="1100">
              <a:solidFill>
                <a:srgbClr val="FFFF00"/>
              </a:solidFill>
            </a:rPr>
            <a:t>Table : common_code_items</a:t>
          </a:r>
        </a:p>
        <a:p>
          <a:pPr algn="l"/>
          <a:r>
            <a:rPr lang="en-US" altLang="ko-KR" sz="1100"/>
            <a:t>   &gt;</a:t>
          </a:r>
          <a:r>
            <a:rPr lang="en-US" altLang="ko-KR" sz="1100" baseline="0"/>
            <a:t> header: target_code </a:t>
          </a:r>
        </a:p>
        <a:p>
          <a:pPr algn="l"/>
          <a:r>
            <a:rPr lang="en-US" altLang="ko-KR" sz="1100" baseline="0"/>
            <a:t>  </a:t>
          </a:r>
        </a:p>
        <a:p>
          <a:pPr algn="l"/>
          <a:r>
            <a:rPr lang="en-US" altLang="ko-KR" sz="1100" baseline="0">
              <a:solidFill>
                <a:srgbClr val="FFFF00"/>
              </a:solidFill>
            </a:rPr>
            <a:t>name / value / value_opt1 </a:t>
          </a:r>
        </a:p>
        <a:p>
          <a:pPr algn="l"/>
          <a:r>
            <a:rPr lang="en-US" altLang="ko-KR" sz="1100"/>
            <a:t>A01 /</a:t>
          </a:r>
          <a:r>
            <a:rPr lang="en-US" altLang="ko-KR" sz="1100" baseline="0"/>
            <a:t> </a:t>
          </a:r>
          <a:r>
            <a:rPr lang="ko-KR" altLang="en-US" sz="1100" baseline="0"/>
            <a:t>매출 </a:t>
          </a:r>
          <a:r>
            <a:rPr lang="en-US" altLang="ko-KR" sz="1100" baseline="0"/>
            <a:t>/ 01 </a:t>
          </a:r>
        </a:p>
        <a:p>
          <a:pPr algn="l"/>
          <a:r>
            <a:rPr lang="en-US" altLang="ko-KR" sz="1100" baseline="0"/>
            <a:t>A02 / </a:t>
          </a:r>
          <a:r>
            <a:rPr lang="ko-KR" altLang="en-US" sz="1100" baseline="0"/>
            <a:t>마진율 </a:t>
          </a:r>
          <a:r>
            <a:rPr lang="en-US" altLang="ko-KR" sz="1100" baseline="0"/>
            <a:t>/ 02 /</a:t>
          </a:r>
        </a:p>
        <a:p>
          <a:pPr algn="l"/>
          <a:endParaRPr lang="en-US" altLang="ko-KR" sz="1100"/>
        </a:p>
        <a:p>
          <a:pPr algn="l"/>
          <a:r>
            <a:rPr lang="en-US" altLang="ko-KR" sz="1100">
              <a:solidFill>
                <a:srgbClr val="FFFF00"/>
              </a:solidFill>
            </a:rPr>
            <a:t>* value</a:t>
          </a:r>
          <a:r>
            <a:rPr lang="en-US" altLang="ko-KR" sz="1100" baseline="0">
              <a:solidFill>
                <a:srgbClr val="FFFF00"/>
              </a:solidFill>
            </a:rPr>
            <a:t>_opt1 : Display Type</a:t>
          </a:r>
        </a:p>
        <a:p>
          <a:pPr algn="l"/>
          <a:r>
            <a:rPr lang="en-US" altLang="ko-KR" sz="1100"/>
            <a:t>01 : </a:t>
          </a:r>
          <a:r>
            <a:rPr lang="ko-KR" altLang="en-US" sz="1100"/>
            <a:t>금액</a:t>
          </a:r>
          <a:endParaRPr lang="en-US" altLang="ko-K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898331</xdr:colOff>
      <xdr:row>15</xdr:row>
      <xdr:rowOff>142707</xdr:rowOff>
    </xdr:from>
    <xdr:to>
      <xdr:col>10</xdr:col>
      <xdr:colOff>306457</xdr:colOff>
      <xdr:row>49</xdr:row>
      <xdr:rowOff>150394</xdr:rowOff>
    </xdr:to>
    <xdr:sp macro="" textlink="">
      <xdr:nvSpPr>
        <xdr:cNvPr id="77" name="직사각형 1">
          <a:extLst>
            <a:ext uri="{FF2B5EF4-FFF2-40B4-BE49-F238E27FC236}">
              <a16:creationId xmlns:a16="http://schemas.microsoft.com/office/drawing/2014/main" id="{BCCB5CBC-7B18-23B0-4464-C24295B22B42}"/>
            </a:ext>
          </a:extLst>
        </xdr:cNvPr>
        <xdr:cNvSpPr/>
      </xdr:nvSpPr>
      <xdr:spPr>
        <a:xfrm>
          <a:off x="5276489" y="3326062"/>
          <a:ext cx="3234836" cy="710966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[</a:t>
          </a:r>
          <a:r>
            <a:rPr lang="ko-KR" altLang="en-US" sz="1100"/>
            <a:t>목표</a:t>
          </a:r>
          <a:r>
            <a:rPr lang="ko-KR" altLang="en-US" sz="1100" baseline="0"/>
            <a:t> 코드</a:t>
          </a:r>
          <a:r>
            <a:rPr lang="en-US" altLang="ko-KR" sz="1100" baseline="0"/>
            <a:t>]</a:t>
          </a:r>
        </a:p>
        <a:p>
          <a:pPr algn="l"/>
          <a:r>
            <a:rPr lang="en-US" altLang="ko-KR" sz="1100">
              <a:solidFill>
                <a:srgbClr val="FFFF00"/>
              </a:solidFill>
              <a:latin typeface="+mj-ea"/>
              <a:ea typeface="+mj-ea"/>
            </a:rPr>
            <a:t>Table : common_code_items</a:t>
          </a:r>
        </a:p>
        <a:p>
          <a:pPr algn="l"/>
          <a:r>
            <a:rPr lang="en-US" altLang="ko-KR" sz="1100">
              <a:latin typeface="+mj-ea"/>
              <a:ea typeface="+mj-ea"/>
            </a:rPr>
            <a:t>   &gt;</a:t>
          </a:r>
          <a:r>
            <a:rPr lang="en-US" altLang="ko-KR" sz="1100" baseline="0">
              <a:latin typeface="+mj-ea"/>
              <a:ea typeface="+mj-ea"/>
            </a:rPr>
            <a:t> header: target_code </a:t>
          </a:r>
        </a:p>
        <a:p>
          <a:pPr algn="l"/>
          <a:r>
            <a:rPr lang="en-US" altLang="ko-KR" sz="1100" baseline="0">
              <a:latin typeface="+mj-ea"/>
              <a:ea typeface="+mj-ea"/>
            </a:rPr>
            <a:t>  </a:t>
          </a:r>
        </a:p>
        <a:p>
          <a:pPr algn="l"/>
          <a:r>
            <a:rPr lang="en-US" altLang="ko-KR" sz="1100" baseline="0">
              <a:solidFill>
                <a:srgbClr val="FFFF00"/>
              </a:solidFill>
              <a:latin typeface="+mj-ea"/>
              <a:ea typeface="+mj-ea"/>
            </a:rPr>
            <a:t>name / value / value_opt1 </a:t>
          </a:r>
        </a:p>
        <a:p>
          <a:pPr algn="l"/>
          <a:r>
            <a:rPr lang="en-US" altLang="ko-KR" sz="1100">
              <a:latin typeface="+mj-ea"/>
              <a:ea typeface="+mj-ea"/>
            </a:rPr>
            <a:t>A01 /</a:t>
          </a:r>
          <a:r>
            <a:rPr lang="en-US" altLang="ko-KR" sz="1100" baseline="0">
              <a:latin typeface="+mj-ea"/>
              <a:ea typeface="+mj-ea"/>
            </a:rPr>
            <a:t> </a:t>
          </a:r>
          <a:r>
            <a:rPr lang="ko-KR" altLang="en-US" sz="1100" baseline="0">
              <a:latin typeface="+mj-ea"/>
              <a:ea typeface="+mj-ea"/>
            </a:rPr>
            <a:t>매출 </a:t>
          </a:r>
          <a:r>
            <a:rPr lang="en-US" altLang="ko-KR" sz="1100" baseline="0">
              <a:latin typeface="+mj-ea"/>
              <a:ea typeface="+mj-ea"/>
            </a:rPr>
            <a:t>/ 01 </a:t>
          </a:r>
        </a:p>
        <a:p>
          <a:pPr algn="l"/>
          <a:r>
            <a:rPr lang="en-US" altLang="ko-KR" sz="1100" baseline="0">
              <a:latin typeface="+mj-ea"/>
              <a:ea typeface="+mj-ea"/>
            </a:rPr>
            <a:t>A02 / </a:t>
          </a:r>
          <a:r>
            <a:rPr lang="ko-KR" altLang="en-US" sz="1100" baseline="0">
              <a:latin typeface="+mj-ea"/>
              <a:ea typeface="+mj-ea"/>
            </a:rPr>
            <a:t>마진율 </a:t>
          </a:r>
          <a:r>
            <a:rPr lang="en-US" altLang="ko-KR" sz="1100" baseline="0">
              <a:latin typeface="+mj-ea"/>
              <a:ea typeface="+mj-ea"/>
            </a:rPr>
            <a:t>/ 02 </a:t>
          </a:r>
        </a:p>
        <a:p>
          <a:pPr algn="l"/>
          <a:r>
            <a:rPr lang="en-US" altLang="ko-KR" sz="1100" baseline="0">
              <a:latin typeface="+mj-ea"/>
              <a:ea typeface="+mj-ea"/>
            </a:rPr>
            <a:t>A03 / </a:t>
          </a:r>
          <a:r>
            <a:rPr lang="ko-KR" altLang="en-US" sz="1100" baseline="0">
              <a:latin typeface="+mj-ea"/>
              <a:ea typeface="+mj-ea"/>
            </a:rPr>
            <a:t>마진액 </a:t>
          </a:r>
          <a:r>
            <a:rPr lang="en-US" altLang="ko-KR" sz="1100" baseline="0">
              <a:latin typeface="+mj-ea"/>
              <a:ea typeface="+mj-ea"/>
            </a:rPr>
            <a:t>/ 01</a:t>
          </a:r>
        </a:p>
        <a:p>
          <a:pPr algn="l"/>
          <a:r>
            <a:rPr lang="en-US" altLang="ko-KR" sz="1100" baseline="0">
              <a:latin typeface="+mj-ea"/>
              <a:ea typeface="+mj-ea"/>
            </a:rPr>
            <a:t>A03 / </a:t>
          </a:r>
          <a:r>
            <a:rPr lang="ko-KR" altLang="en-US" sz="1100" baseline="0">
              <a:latin typeface="+mj-ea"/>
              <a:ea typeface="+mj-ea"/>
            </a:rPr>
            <a:t>공헌이익 </a:t>
          </a:r>
          <a:r>
            <a:rPr lang="en-US" altLang="ko-KR" sz="1100" baseline="0">
              <a:latin typeface="+mj-ea"/>
              <a:ea typeface="+mj-ea"/>
            </a:rPr>
            <a:t>/ 01 </a:t>
          </a:r>
        </a:p>
        <a:p>
          <a:pPr algn="l"/>
          <a:r>
            <a:rPr lang="en-US" altLang="ko-KR" sz="1100" baseline="0">
              <a:latin typeface="+mj-ea"/>
              <a:ea typeface="+mj-ea"/>
            </a:rPr>
            <a:t>A04 / BR / 02 </a:t>
          </a:r>
        </a:p>
        <a:p>
          <a:pPr algn="l"/>
          <a:r>
            <a:rPr lang="en-US" altLang="ko-KR" sz="1100" baseline="0">
              <a:latin typeface="+mj-ea"/>
              <a:ea typeface="+mj-ea"/>
            </a:rPr>
            <a:t>A05 / ROHC / 01 </a:t>
          </a:r>
        </a:p>
        <a:p>
          <a:pPr algn="l"/>
          <a:r>
            <a:rPr lang="en-US" altLang="ko-KR" sz="1100" baseline="0">
              <a:latin typeface="+mj-ea"/>
              <a:ea typeface="+mj-ea"/>
            </a:rPr>
            <a:t>B01 / Offshoring / 01 </a:t>
          </a:r>
        </a:p>
        <a:p>
          <a:pPr algn="l"/>
          <a:r>
            <a:rPr lang="en-US" altLang="ko-KR" sz="1100" baseline="0">
              <a:latin typeface="+mj-ea"/>
              <a:ea typeface="+mj-ea"/>
            </a:rPr>
            <a:t>B02 / DT</a:t>
          </a:r>
          <a:r>
            <a:rPr lang="ko-KR" altLang="en-US" sz="1100" baseline="0">
              <a:latin typeface="+mj-ea"/>
              <a:ea typeface="+mj-ea"/>
            </a:rPr>
            <a:t>매출 </a:t>
          </a:r>
          <a:r>
            <a:rPr lang="en-US" altLang="ko-KR" sz="1100" baseline="0">
              <a:latin typeface="+mj-ea"/>
              <a:ea typeface="+mj-ea"/>
            </a:rPr>
            <a:t>/ 01 </a:t>
          </a:r>
        </a:p>
        <a:p>
          <a:pPr algn="l"/>
          <a:endParaRPr lang="en-US" altLang="ko-KR" sz="1100" baseline="0">
            <a:latin typeface="+mj-ea"/>
            <a:ea typeface="+mj-ea"/>
          </a:endParaRPr>
        </a:p>
        <a:p>
          <a:r>
            <a:rPr lang="en-US" altLang="ko-KR" sz="1100">
              <a:solidFill>
                <a:srgbClr val="FFFF00"/>
              </a:solidFill>
              <a:effectLst/>
              <a:latin typeface="+mj-ea"/>
              <a:ea typeface="+mj-ea"/>
              <a:cs typeface="+mn-cs"/>
            </a:rPr>
            <a:t>*5/15</a:t>
          </a:r>
          <a:r>
            <a:rPr lang="ko-KR" altLang="ko-KR" sz="1100">
              <a:solidFill>
                <a:srgbClr val="FFFF00"/>
              </a:solidFill>
              <a:effectLst/>
              <a:latin typeface="+mj-ea"/>
              <a:ea typeface="+mj-ea"/>
              <a:cs typeface="+mn-cs"/>
            </a:rPr>
            <a:t>일자 기준 추가 </a:t>
          </a:r>
          <a:endParaRPr lang="ko-KR" altLang="ko-KR">
            <a:solidFill>
              <a:srgbClr val="FFFF00"/>
            </a:solidFill>
            <a:effectLst/>
            <a:latin typeface="+mj-ea"/>
            <a:ea typeface="+mj-ea"/>
          </a:endParaRPr>
        </a:p>
        <a:p>
          <a:r>
            <a:rPr lang="en-US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B03 / DT</a:t>
          </a:r>
          <a:r>
            <a:rPr lang="ko-KR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마진 </a:t>
          </a:r>
          <a:r>
            <a:rPr lang="en-US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/ 02</a:t>
          </a:r>
          <a:endParaRPr lang="ko-KR" altLang="ko-KR">
            <a:effectLst/>
            <a:latin typeface="+mj-ea"/>
            <a:ea typeface="+mj-ea"/>
          </a:endParaRPr>
        </a:p>
        <a:p>
          <a:r>
            <a:rPr lang="en-US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B04 / Non-MM / 01 </a:t>
          </a:r>
          <a:endParaRPr lang="ko-KR" altLang="ko-KR">
            <a:effectLst/>
            <a:latin typeface="+mj-ea"/>
            <a:ea typeface="+mj-ea"/>
          </a:endParaRPr>
        </a:p>
        <a:p>
          <a:r>
            <a:rPr lang="en-US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C01 / SG&amp;A / 01</a:t>
          </a:r>
          <a:endParaRPr lang="ko-KR" altLang="ko-KR">
            <a:effectLst/>
            <a:latin typeface="+mj-ea"/>
            <a:ea typeface="+mj-ea"/>
          </a:endParaRPr>
        </a:p>
        <a:p>
          <a:r>
            <a:rPr lang="en-US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C02 / </a:t>
          </a:r>
          <a:r>
            <a:rPr lang="ko-KR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영업이익 </a:t>
          </a:r>
          <a:r>
            <a:rPr lang="en-US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/ 01</a:t>
          </a:r>
          <a:endParaRPr lang="ko-KR" altLang="ko-KR">
            <a:effectLst/>
            <a:latin typeface="+mj-ea"/>
            <a:ea typeface="+mj-ea"/>
          </a:endParaRPr>
        </a:p>
        <a:p>
          <a:r>
            <a:rPr lang="en-US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C03 / </a:t>
          </a:r>
          <a:r>
            <a:rPr lang="ko-KR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전사영업이익 </a:t>
          </a:r>
          <a:r>
            <a:rPr lang="en-US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/ 01</a:t>
          </a:r>
          <a:endParaRPr lang="ko-KR" altLang="ko-KR">
            <a:effectLst/>
            <a:latin typeface="+mj-ea"/>
            <a:ea typeface="+mj-ea"/>
          </a:endParaRPr>
        </a:p>
        <a:p>
          <a:r>
            <a:rPr lang="en-US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C04 / </a:t>
          </a:r>
          <a:r>
            <a:rPr lang="ko-KR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총액 인건비</a:t>
          </a:r>
          <a:r>
            <a:rPr lang="en-US" altLang="ko-KR" sz="1100">
              <a:solidFill>
                <a:schemeClr val="lt1"/>
              </a:solidFill>
              <a:effectLst/>
              <a:latin typeface="+mj-ea"/>
              <a:ea typeface="+mj-ea"/>
              <a:cs typeface="+mn-cs"/>
            </a:rPr>
            <a:t> / 01</a:t>
          </a:r>
          <a:endParaRPr lang="ko-KR" altLang="ko-KR">
            <a:effectLst/>
            <a:latin typeface="+mj-ea"/>
            <a:ea typeface="+mj-ea"/>
          </a:endParaRPr>
        </a:p>
        <a:p>
          <a:pPr algn="l"/>
          <a:endParaRPr lang="en-US" altLang="ko-KR" sz="1100">
            <a:latin typeface="+mj-ea"/>
            <a:ea typeface="+mj-ea"/>
          </a:endParaRPr>
        </a:p>
        <a:p>
          <a:pPr algn="l"/>
          <a:r>
            <a:rPr lang="en-US" altLang="ko-KR" sz="1100">
              <a:solidFill>
                <a:srgbClr val="FFFF00"/>
              </a:solidFill>
              <a:latin typeface="+mj-ea"/>
              <a:ea typeface="+mj-ea"/>
            </a:rPr>
            <a:t>* value</a:t>
          </a:r>
          <a:r>
            <a:rPr lang="en-US" altLang="ko-KR" sz="1100" baseline="0">
              <a:solidFill>
                <a:srgbClr val="FFFF00"/>
              </a:solidFill>
              <a:latin typeface="+mj-ea"/>
              <a:ea typeface="+mj-ea"/>
            </a:rPr>
            <a:t>_opt1 : Display Type</a:t>
          </a:r>
        </a:p>
        <a:p>
          <a:pPr algn="l"/>
          <a:r>
            <a:rPr lang="en-US" altLang="ko-KR" sz="1100">
              <a:latin typeface="+mj-ea"/>
              <a:ea typeface="+mj-ea"/>
            </a:rPr>
            <a:t>01 : </a:t>
          </a:r>
          <a:r>
            <a:rPr lang="ko-KR" altLang="en-US" sz="1100">
              <a:latin typeface="+mj-ea"/>
              <a:ea typeface="+mj-ea"/>
            </a:rPr>
            <a:t>금액</a:t>
          </a:r>
          <a:endParaRPr lang="en-US" altLang="ko-KR" sz="1100">
            <a:latin typeface="+mj-ea"/>
            <a:ea typeface="+mj-ea"/>
          </a:endParaRPr>
        </a:p>
        <a:p>
          <a:pPr algn="l"/>
          <a:r>
            <a:rPr lang="en-US" altLang="ko-KR" sz="1100">
              <a:latin typeface="+mj-ea"/>
              <a:ea typeface="+mj-ea"/>
            </a:rPr>
            <a:t>02 : </a:t>
          </a:r>
          <a:r>
            <a:rPr lang="ko-KR" altLang="en-US" sz="1100">
              <a:latin typeface="+mj-ea"/>
              <a:ea typeface="+mj-ea"/>
            </a:rPr>
            <a:t>퍼센트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B93D5-DD7D-4E2F-8AD9-9DF9BCE1267B}">
  <sheetPr codeName="Sheet1">
    <tabColor rgb="FFFFC000"/>
  </sheetPr>
  <dimension ref="C21:BL629"/>
  <sheetViews>
    <sheetView showGridLines="0" topLeftCell="R20" zoomScale="55" zoomScaleNormal="55" workbookViewId="0">
      <selection activeCell="S21" sqref="S21"/>
    </sheetView>
  </sheetViews>
  <sheetFormatPr defaultColWidth="9" defaultRowHeight="15" customHeight="1"/>
  <cols>
    <col min="1" max="1" width="9" style="40"/>
    <col min="2" max="2" width="36" style="40" bestFit="1" customWidth="1"/>
    <col min="3" max="50" width="25.625" style="40" customWidth="1"/>
    <col min="51" max="51" width="36" style="40" bestFit="1" customWidth="1"/>
    <col min="52" max="53" width="9" style="40"/>
    <col min="54" max="54" width="30.75" style="40" bestFit="1" customWidth="1"/>
    <col min="55" max="55" width="36" style="40" bestFit="1" customWidth="1"/>
    <col min="56" max="57" width="9" style="40"/>
    <col min="58" max="58" width="36" style="40" bestFit="1" customWidth="1"/>
    <col min="59" max="59" width="51.5" style="40" customWidth="1"/>
    <col min="60" max="61" width="9" style="40"/>
    <col min="62" max="62" width="30.75" style="40" bestFit="1" customWidth="1"/>
    <col min="63" max="63" width="36" style="40" bestFit="1" customWidth="1"/>
    <col min="64" max="64" width="38.25" style="40" bestFit="1" customWidth="1"/>
    <col min="65" max="65" width="9" style="40"/>
    <col min="66" max="67" width="36" style="40" bestFit="1" customWidth="1"/>
    <col min="68" max="69" width="9" style="40"/>
    <col min="70" max="70" width="30.75" style="40" bestFit="1" customWidth="1"/>
    <col min="71" max="71" width="36" style="40" bestFit="1" customWidth="1"/>
    <col min="72" max="73" width="9" style="40"/>
    <col min="74" max="74" width="30.75" style="40" bestFit="1" customWidth="1"/>
    <col min="75" max="75" width="36" style="40" bestFit="1" customWidth="1"/>
    <col min="76" max="78" width="9" style="40"/>
    <col min="79" max="80" width="30.75" style="40" bestFit="1" customWidth="1"/>
    <col min="81" max="82" width="9" style="40"/>
    <col min="83" max="83" width="30.75" style="40" bestFit="1" customWidth="1"/>
    <col min="84" max="84" width="36" style="40" bestFit="1" customWidth="1"/>
    <col min="85" max="86" width="9" style="40"/>
    <col min="87" max="88" width="30.75" style="40" bestFit="1" customWidth="1"/>
    <col min="89" max="90" width="9" style="40"/>
    <col min="91" max="91" width="30.75" style="40" bestFit="1" customWidth="1"/>
    <col min="92" max="92" width="23.25" style="40" bestFit="1" customWidth="1"/>
    <col min="93" max="102" width="9" style="40"/>
    <col min="103" max="103" width="30.75" style="40" bestFit="1" customWidth="1"/>
    <col min="104" max="16384" width="9" style="40"/>
  </cols>
  <sheetData>
    <row r="21" spans="7:28" ht="15" customHeight="1">
      <c r="G21" s="64" t="s">
        <v>0</v>
      </c>
      <c r="H21" s="9" t="s">
        <v>1</v>
      </c>
      <c r="L21" s="64" t="s">
        <v>2</v>
      </c>
      <c r="M21" s="64" t="s">
        <v>3</v>
      </c>
      <c r="O21" s="63" t="s">
        <v>4</v>
      </c>
      <c r="P21" s="63" t="s">
        <v>5</v>
      </c>
      <c r="R21" s="63" t="s">
        <v>6</v>
      </c>
      <c r="S21" s="63" t="s">
        <v>7</v>
      </c>
      <c r="U21" s="64" t="s">
        <v>8</v>
      </c>
      <c r="V21" s="64" t="s">
        <v>9</v>
      </c>
      <c r="X21" s="64" t="s">
        <v>10</v>
      </c>
      <c r="Y21" s="64" t="s">
        <v>11</v>
      </c>
      <c r="AA21" s="50" t="s">
        <v>12</v>
      </c>
      <c r="AB21" s="63" t="s">
        <v>13</v>
      </c>
    </row>
    <row r="22" spans="7:28" ht="15" customHeight="1">
      <c r="G22" s="7" t="s">
        <v>14</v>
      </c>
      <c r="H22" s="7" t="s">
        <v>15</v>
      </c>
      <c r="L22" s="7" t="s">
        <v>14</v>
      </c>
      <c r="M22" s="7" t="s">
        <v>15</v>
      </c>
      <c r="O22" s="7" t="s">
        <v>14</v>
      </c>
      <c r="P22" s="7" t="s">
        <v>15</v>
      </c>
      <c r="R22" s="7" t="s">
        <v>14</v>
      </c>
      <c r="S22" s="7" t="s">
        <v>15</v>
      </c>
      <c r="U22" s="7" t="s">
        <v>14</v>
      </c>
      <c r="V22" s="7" t="s">
        <v>15</v>
      </c>
      <c r="X22" s="7" t="s">
        <v>14</v>
      </c>
      <c r="Y22" s="7" t="s">
        <v>15</v>
      </c>
      <c r="AA22" s="7" t="str">
        <f>공통_menu!C5</f>
        <v>Field</v>
      </c>
      <c r="AB22" s="7" t="str">
        <f>공통_menu!D5</f>
        <v>Title</v>
      </c>
    </row>
    <row r="23" spans="7:28" ht="15" customHeight="1">
      <c r="G23" s="8" t="s">
        <v>16</v>
      </c>
      <c r="H23" s="8" t="s">
        <v>17</v>
      </c>
      <c r="L23" s="8" t="s">
        <v>16</v>
      </c>
      <c r="M23" s="8" t="s">
        <v>17</v>
      </c>
      <c r="O23" s="8" t="s">
        <v>18</v>
      </c>
      <c r="P23" s="8" t="s">
        <v>19</v>
      </c>
      <c r="R23" s="8" t="s">
        <v>20</v>
      </c>
      <c r="S23" s="8" t="s">
        <v>21</v>
      </c>
      <c r="U23" s="8" t="s">
        <v>16</v>
      </c>
      <c r="V23" s="8" t="s">
        <v>17</v>
      </c>
      <c r="X23" s="8" t="s">
        <v>16</v>
      </c>
      <c r="Y23" s="8" t="s">
        <v>17</v>
      </c>
      <c r="AA23" s="8" t="str">
        <f>공통_menu!C6</f>
        <v>id</v>
      </c>
      <c r="AB23" s="8" t="str">
        <f>공통_menu!D6</f>
        <v>메뉴 아이디</v>
      </c>
    </row>
    <row r="24" spans="7:28" ht="15" customHeight="1">
      <c r="G24" s="8" t="s">
        <v>22</v>
      </c>
      <c r="H24" s="8" t="s">
        <v>23</v>
      </c>
      <c r="L24" s="8" t="s">
        <v>22</v>
      </c>
      <c r="M24" s="8" t="s">
        <v>23</v>
      </c>
      <c r="O24" s="8" t="s">
        <v>24</v>
      </c>
      <c r="P24" s="8" t="s">
        <v>24</v>
      </c>
      <c r="R24" s="8" t="s">
        <v>24</v>
      </c>
      <c r="S24" s="8" t="s">
        <v>24</v>
      </c>
      <c r="U24" s="8" t="s">
        <v>22</v>
      </c>
      <c r="V24" s="8" t="s">
        <v>23</v>
      </c>
      <c r="X24" s="8" t="s">
        <v>22</v>
      </c>
      <c r="Y24" s="8" t="s">
        <v>23</v>
      </c>
      <c r="AA24" s="8" t="e">
        <f>공통_menu!#REF!</f>
        <v>#REF!</v>
      </c>
      <c r="AB24" s="8" t="e">
        <f>공통_menu!#REF!</f>
        <v>#REF!</v>
      </c>
    </row>
    <row r="25" spans="7:28" ht="15" customHeight="1">
      <c r="G25" s="8" t="s">
        <v>25</v>
      </c>
      <c r="H25" s="8" t="s">
        <v>26</v>
      </c>
      <c r="L25" s="8" t="s">
        <v>25</v>
      </c>
      <c r="M25" s="8" t="s">
        <v>26</v>
      </c>
      <c r="O25" s="8" t="s">
        <v>27</v>
      </c>
      <c r="P25" s="8" t="s">
        <v>28</v>
      </c>
      <c r="R25" s="8" t="s">
        <v>29</v>
      </c>
      <c r="S25" s="8" t="s">
        <v>30</v>
      </c>
      <c r="U25" s="8" t="s">
        <v>25</v>
      </c>
      <c r="V25" s="8" t="s">
        <v>26</v>
      </c>
      <c r="X25" s="8" t="s">
        <v>25</v>
      </c>
      <c r="Y25" s="8" t="s">
        <v>26</v>
      </c>
      <c r="AA25" s="8" t="str">
        <f>공통_menu!C7</f>
        <v>category</v>
      </c>
      <c r="AB25" s="8" t="str">
        <f>공통_menu!D7</f>
        <v>카테고리</v>
      </c>
    </row>
    <row r="26" spans="7:28" ht="15" customHeight="1">
      <c r="G26" s="8" t="s">
        <v>31</v>
      </c>
      <c r="H26" s="8" t="s">
        <v>32</v>
      </c>
      <c r="L26" s="8" t="s">
        <v>31</v>
      </c>
      <c r="M26" s="8" t="s">
        <v>32</v>
      </c>
      <c r="O26" s="8" t="s">
        <v>33</v>
      </c>
      <c r="P26" s="8" t="s">
        <v>34</v>
      </c>
      <c r="R26" s="8" t="s">
        <v>27</v>
      </c>
      <c r="S26" s="8" t="s">
        <v>28</v>
      </c>
      <c r="U26" s="8" t="s">
        <v>31</v>
      </c>
      <c r="V26" s="8" t="s">
        <v>32</v>
      </c>
      <c r="X26" s="8" t="s">
        <v>31</v>
      </c>
      <c r="Y26" s="8" t="s">
        <v>32</v>
      </c>
      <c r="AA26" s="8" t="str">
        <f>공통_menu!C8</f>
        <v>code</v>
      </c>
      <c r="AB26" s="8" t="str">
        <f>공통_menu!D8</f>
        <v>메뉴 분류 코드</v>
      </c>
    </row>
    <row r="27" spans="7:28" ht="15" customHeight="1">
      <c r="G27" s="8" t="s">
        <v>35</v>
      </c>
      <c r="H27" s="8" t="s">
        <v>36</v>
      </c>
      <c r="L27" s="8" t="s">
        <v>35</v>
      </c>
      <c r="M27" s="8" t="s">
        <v>36</v>
      </c>
      <c r="O27" s="8" t="s">
        <v>37</v>
      </c>
      <c r="P27" s="8" t="s">
        <v>38</v>
      </c>
      <c r="R27" s="8" t="s">
        <v>33</v>
      </c>
      <c r="S27" s="8" t="s">
        <v>34</v>
      </c>
      <c r="U27" s="8" t="s">
        <v>35</v>
      </c>
      <c r="V27" s="8" t="s">
        <v>36</v>
      </c>
      <c r="X27" s="8" t="s">
        <v>35</v>
      </c>
      <c r="Y27" s="8" t="s">
        <v>36</v>
      </c>
      <c r="AA27" s="8" t="str">
        <f>공통_menu!C9</f>
        <v>i18nTitle</v>
      </c>
      <c r="AB27" s="8" t="str">
        <f>공통_menu!D9</f>
        <v>메뉴명 다국어 key</v>
      </c>
    </row>
    <row r="28" spans="7:28" ht="15" customHeight="1">
      <c r="G28" s="8" t="s">
        <v>39</v>
      </c>
      <c r="H28" s="8" t="s">
        <v>40</v>
      </c>
      <c r="L28" s="8" t="s">
        <v>41</v>
      </c>
      <c r="M28" s="8" t="s">
        <v>42</v>
      </c>
      <c r="O28" s="8" t="s">
        <v>43</v>
      </c>
      <c r="P28" s="8" t="s">
        <v>44</v>
      </c>
      <c r="R28" s="8" t="s">
        <v>37</v>
      </c>
      <c r="S28" s="8" t="s">
        <v>38</v>
      </c>
      <c r="U28" s="8" t="s">
        <v>39</v>
      </c>
      <c r="V28" s="8" t="s">
        <v>45</v>
      </c>
      <c r="X28" s="8" t="s">
        <v>46</v>
      </c>
      <c r="Y28" s="8" t="s">
        <v>47</v>
      </c>
      <c r="AA28" s="8" t="str">
        <f>공통_menu!C10</f>
        <v>name</v>
      </c>
      <c r="AB28" s="8" t="str">
        <f>공통_menu!D10</f>
        <v>메뉴명 (technical)</v>
      </c>
    </row>
    <row r="29" spans="7:28" ht="15" customHeight="1">
      <c r="G29" s="8" t="s">
        <v>48</v>
      </c>
      <c r="H29" s="8" t="s">
        <v>49</v>
      </c>
      <c r="L29" s="8" t="s">
        <v>50</v>
      </c>
      <c r="M29" s="8" t="s">
        <v>51</v>
      </c>
      <c r="R29" s="8" t="s">
        <v>43</v>
      </c>
      <c r="S29" s="8" t="s">
        <v>44</v>
      </c>
      <c r="U29" s="8" t="s">
        <v>52</v>
      </c>
      <c r="V29" s="8" t="s">
        <v>53</v>
      </c>
      <c r="X29" s="8" t="s">
        <v>54</v>
      </c>
      <c r="Y29" s="8" t="s">
        <v>55</v>
      </c>
      <c r="AA29" s="8" t="str">
        <f>공통_menu!C11</f>
        <v>description</v>
      </c>
      <c r="AB29" s="8" t="str">
        <f>공통_menu!D11</f>
        <v>상세</v>
      </c>
    </row>
    <row r="30" spans="7:28" ht="15" customHeight="1">
      <c r="G30" s="8" t="s">
        <v>56</v>
      </c>
      <c r="H30" s="8" t="s">
        <v>57</v>
      </c>
      <c r="L30" s="8" t="s">
        <v>58</v>
      </c>
      <c r="M30" s="8" t="s">
        <v>59</v>
      </c>
      <c r="U30" s="8" t="s">
        <v>60</v>
      </c>
      <c r="V30" s="8" t="s">
        <v>61</v>
      </c>
      <c r="X30" s="8" t="s">
        <v>62</v>
      </c>
      <c r="Y30" s="8" t="s">
        <v>63</v>
      </c>
      <c r="AA30" s="8" t="str">
        <f>공통_menu!C12</f>
        <v>route</v>
      </c>
      <c r="AB30" s="8" t="str">
        <f>공통_menu!D12</f>
        <v>3depth(상세화면) 경로</v>
      </c>
    </row>
    <row r="31" spans="7:28" ht="15" customHeight="1">
      <c r="G31" s="8" t="s">
        <v>64</v>
      </c>
      <c r="H31" s="8" t="s">
        <v>65</v>
      </c>
      <c r="L31" s="8" t="s">
        <v>66</v>
      </c>
      <c r="M31" s="8" t="s">
        <v>67</v>
      </c>
      <c r="X31" s="8" t="s">
        <v>68</v>
      </c>
      <c r="Y31" s="8" t="s">
        <v>69</v>
      </c>
      <c r="AA31" s="8" t="str">
        <f>공통_menu!C13</f>
        <v>pattern</v>
      </c>
      <c r="AB31" s="8" t="str">
        <f>공통_menu!D13</f>
        <v>3depth(상세화면) 파라미터</v>
      </c>
    </row>
    <row r="32" spans="7:28" ht="15" customHeight="1">
      <c r="G32" s="8" t="s">
        <v>70</v>
      </c>
      <c r="H32" s="8" t="s">
        <v>71</v>
      </c>
      <c r="L32" s="8" t="s">
        <v>72</v>
      </c>
      <c r="M32" s="8" t="s">
        <v>73</v>
      </c>
      <c r="X32" s="8" t="s">
        <v>74</v>
      </c>
      <c r="Y32" s="8" t="s">
        <v>75</v>
      </c>
      <c r="AA32" s="8" t="e">
        <f>공통_menu!#REF!</f>
        <v>#REF!</v>
      </c>
      <c r="AB32" s="8" t="e">
        <f>공통_menu!#REF!</f>
        <v>#REF!</v>
      </c>
    </row>
    <row r="33" spans="7:28" ht="15" customHeight="1">
      <c r="G33" s="8" t="s">
        <v>76</v>
      </c>
      <c r="H33" s="8" t="s">
        <v>77</v>
      </c>
      <c r="X33" s="8" t="s">
        <v>78</v>
      </c>
      <c r="Y33" s="8" t="s">
        <v>79</v>
      </c>
      <c r="AA33" s="8" t="str">
        <f>공통_menu!C14</f>
        <v>sort_order</v>
      </c>
      <c r="AB33" s="8" t="str">
        <f>공통_menu!D14</f>
        <v>정렬순서</v>
      </c>
    </row>
    <row r="34" spans="7:28" ht="15" customHeight="1">
      <c r="G34" s="8" t="s">
        <v>80</v>
      </c>
      <c r="H34" s="8" t="s">
        <v>81</v>
      </c>
      <c r="X34" s="8" t="s">
        <v>82</v>
      </c>
      <c r="Y34" s="8" t="s">
        <v>83</v>
      </c>
      <c r="AA34" s="8" t="str">
        <f>공통_menu!C15</f>
        <v>use_yn</v>
      </c>
      <c r="AB34" s="8" t="str">
        <f>공통_menu!D15</f>
        <v>사용여부</v>
      </c>
    </row>
    <row r="35" spans="7:28" ht="15" customHeight="1" thickBot="1">
      <c r="G35" s="8" t="s">
        <v>84</v>
      </c>
      <c r="H35" s="8" t="s">
        <v>85</v>
      </c>
      <c r="X35" s="8" t="s">
        <v>86</v>
      </c>
      <c r="Y35" s="8" t="s">
        <v>87</v>
      </c>
      <c r="AA35" s="8" t="str">
        <f>공통_menu!C18</f>
        <v>created_at</v>
      </c>
      <c r="AB35" s="8" t="str">
        <f>공통_menu!D18</f>
        <v>생성일</v>
      </c>
    </row>
    <row r="36" spans="7:28" ht="15" customHeight="1" thickTop="1">
      <c r="G36" s="8" t="s">
        <v>66</v>
      </c>
      <c r="H36" s="8" t="s">
        <v>88</v>
      </c>
      <c r="U36" s="90" t="s">
        <v>89</v>
      </c>
      <c r="V36" s="91" t="s">
        <v>90</v>
      </c>
      <c r="X36" s="8" t="s">
        <v>91</v>
      </c>
      <c r="Y36" s="8" t="s">
        <v>92</v>
      </c>
      <c r="AA36" s="8" t="str">
        <f>공통_menu!C19</f>
        <v>created_by</v>
      </c>
      <c r="AB36" s="8" t="str">
        <f>공통_menu!D19</f>
        <v>생성자</v>
      </c>
    </row>
    <row r="37" spans="7:28" ht="15" customHeight="1">
      <c r="G37" s="8" t="s">
        <v>58</v>
      </c>
      <c r="H37" s="8" t="s">
        <v>93</v>
      </c>
      <c r="U37" s="92" t="s">
        <v>14</v>
      </c>
      <c r="V37" s="93" t="s">
        <v>15</v>
      </c>
      <c r="X37" s="8" t="s">
        <v>94</v>
      </c>
      <c r="Y37" s="8" t="s">
        <v>95</v>
      </c>
      <c r="AA37" s="8" t="str">
        <f>공통_menu!C20</f>
        <v>modified_at</v>
      </c>
      <c r="AB37" s="8" t="str">
        <f>공통_menu!D20</f>
        <v>수정일</v>
      </c>
    </row>
    <row r="38" spans="7:28" ht="15" customHeight="1">
      <c r="U38" s="94" t="s">
        <v>39</v>
      </c>
      <c r="V38" s="95" t="s">
        <v>45</v>
      </c>
      <c r="X38" s="8" t="s">
        <v>96</v>
      </c>
      <c r="Y38" s="8" t="s">
        <v>97</v>
      </c>
      <c r="AA38" s="8" t="str">
        <f>공통_menu!C21</f>
        <v>modified_by</v>
      </c>
      <c r="AB38" s="8" t="str">
        <f>공통_menu!D21</f>
        <v>수정자</v>
      </c>
    </row>
    <row r="39" spans="7:28" ht="15" customHeight="1">
      <c r="U39" s="94" t="s">
        <v>52</v>
      </c>
      <c r="V39" s="95" t="s">
        <v>53</v>
      </c>
      <c r="X39" s="8" t="s">
        <v>98</v>
      </c>
      <c r="Y39" s="8" t="s">
        <v>99</v>
      </c>
    </row>
    <row r="40" spans="7:28" ht="15" customHeight="1">
      <c r="U40" s="94" t="s">
        <v>60</v>
      </c>
      <c r="V40" s="95" t="s">
        <v>61</v>
      </c>
      <c r="X40" s="16" t="s">
        <v>100</v>
      </c>
      <c r="Y40" s="16" t="s">
        <v>101</v>
      </c>
    </row>
    <row r="41" spans="7:28" ht="15" customHeight="1">
      <c r="U41" s="94" t="s">
        <v>102</v>
      </c>
      <c r="V41" s="95" t="s">
        <v>103</v>
      </c>
      <c r="X41" s="16" t="s">
        <v>104</v>
      </c>
      <c r="Y41" s="16" t="s">
        <v>105</v>
      </c>
    </row>
    <row r="42" spans="7:28" ht="15" customHeight="1">
      <c r="U42" s="94" t="s">
        <v>106</v>
      </c>
      <c r="V42" s="95" t="s">
        <v>107</v>
      </c>
      <c r="X42" s="16" t="s">
        <v>108</v>
      </c>
      <c r="Y42" s="16" t="s">
        <v>109</v>
      </c>
    </row>
    <row r="43" spans="7:28" ht="15" customHeight="1">
      <c r="U43" s="94" t="s">
        <v>110</v>
      </c>
      <c r="V43" s="95" t="s">
        <v>111</v>
      </c>
      <c r="X43" s="16" t="s">
        <v>112</v>
      </c>
      <c r="Y43" s="16" t="s">
        <v>113</v>
      </c>
    </row>
    <row r="44" spans="7:28" ht="15" customHeight="1" thickBot="1">
      <c r="U44" s="94" t="s">
        <v>114</v>
      </c>
      <c r="V44" s="95" t="s">
        <v>115</v>
      </c>
      <c r="X44" s="16" t="s">
        <v>116</v>
      </c>
      <c r="Y44" s="16" t="s">
        <v>117</v>
      </c>
    </row>
    <row r="45" spans="7:28" ht="15" customHeight="1" thickTop="1">
      <c r="G45" s="90" t="s">
        <v>118</v>
      </c>
      <c r="H45" s="91" t="s">
        <v>119</v>
      </c>
      <c r="K45"/>
      <c r="L45" s="90" t="s">
        <v>120</v>
      </c>
      <c r="M45" s="91" t="s">
        <v>121</v>
      </c>
      <c r="U45" s="94" t="s">
        <v>122</v>
      </c>
      <c r="V45" s="95" t="s">
        <v>123</v>
      </c>
      <c r="X45" s="16" t="s">
        <v>124</v>
      </c>
      <c r="Y45" s="16" t="s">
        <v>125</v>
      </c>
    </row>
    <row r="46" spans="7:28" ht="15" customHeight="1" thickBot="1">
      <c r="G46" s="92" t="s">
        <v>14</v>
      </c>
      <c r="H46" s="93" t="s">
        <v>15</v>
      </c>
      <c r="K46"/>
      <c r="L46" s="92" t="s">
        <v>14</v>
      </c>
      <c r="M46" s="93" t="s">
        <v>15</v>
      </c>
      <c r="U46" s="98" t="s">
        <v>126</v>
      </c>
      <c r="V46" s="99" t="s">
        <v>127</v>
      </c>
      <c r="X46" s="16" t="s">
        <v>80</v>
      </c>
      <c r="Y46" s="16" t="s">
        <v>81</v>
      </c>
    </row>
    <row r="47" spans="7:28" ht="15" customHeight="1" thickTop="1">
      <c r="G47" s="94" t="s">
        <v>39</v>
      </c>
      <c r="H47" s="95" t="s">
        <v>40</v>
      </c>
      <c r="K47"/>
      <c r="L47" s="94" t="s">
        <v>41</v>
      </c>
      <c r="M47" s="95" t="s">
        <v>42</v>
      </c>
      <c r="X47" s="16" t="s">
        <v>128</v>
      </c>
      <c r="Y47" s="16" t="s">
        <v>129</v>
      </c>
    </row>
    <row r="48" spans="7:28" ht="15" customHeight="1">
      <c r="G48" s="94" t="s">
        <v>48</v>
      </c>
      <c r="H48" s="95" t="s">
        <v>49</v>
      </c>
      <c r="K48"/>
      <c r="L48" s="94" t="s">
        <v>50</v>
      </c>
      <c r="M48" s="95" t="s">
        <v>51</v>
      </c>
    </row>
    <row r="49" spans="7:25" ht="15" customHeight="1">
      <c r="G49" s="94" t="s">
        <v>56</v>
      </c>
      <c r="H49" s="95" t="s">
        <v>57</v>
      </c>
      <c r="K49"/>
      <c r="L49" s="94" t="s">
        <v>58</v>
      </c>
      <c r="M49" s="95" t="s">
        <v>59</v>
      </c>
    </row>
    <row r="50" spans="7:25" ht="15" customHeight="1">
      <c r="G50" s="94" t="s">
        <v>64</v>
      </c>
      <c r="H50" s="95" t="s">
        <v>65</v>
      </c>
      <c r="K50"/>
      <c r="L50" s="94" t="s">
        <v>66</v>
      </c>
      <c r="M50" s="95" t="s">
        <v>67</v>
      </c>
    </row>
    <row r="51" spans="7:25" ht="15" customHeight="1">
      <c r="G51" s="94" t="s">
        <v>70</v>
      </c>
      <c r="H51" s="95" t="s">
        <v>71</v>
      </c>
      <c r="K51"/>
      <c r="L51" s="94" t="s">
        <v>72</v>
      </c>
      <c r="M51" s="95" t="s">
        <v>73</v>
      </c>
    </row>
    <row r="52" spans="7:25" ht="15" customHeight="1">
      <c r="G52" s="94" t="s">
        <v>76</v>
      </c>
      <c r="H52" s="95" t="s">
        <v>77</v>
      </c>
      <c r="K52"/>
      <c r="L52" s="94" t="s">
        <v>27</v>
      </c>
      <c r="M52" s="95" t="s">
        <v>28</v>
      </c>
    </row>
    <row r="53" spans="7:25" ht="15" customHeight="1">
      <c r="G53" s="94" t="s">
        <v>130</v>
      </c>
      <c r="H53" s="95" t="s">
        <v>131</v>
      </c>
      <c r="K53"/>
      <c r="L53" s="94" t="s">
        <v>33</v>
      </c>
      <c r="M53" s="95" t="s">
        <v>34</v>
      </c>
    </row>
    <row r="54" spans="7:25" ht="15" customHeight="1">
      <c r="G54" s="94" t="s">
        <v>132</v>
      </c>
      <c r="H54" s="95" t="s">
        <v>133</v>
      </c>
      <c r="K54"/>
      <c r="L54" s="94" t="s">
        <v>37</v>
      </c>
      <c r="M54" s="95" t="s">
        <v>38</v>
      </c>
    </row>
    <row r="55" spans="7:25" ht="15" customHeight="1" thickBot="1">
      <c r="G55" s="94" t="s">
        <v>134</v>
      </c>
      <c r="H55" s="95" t="s">
        <v>135</v>
      </c>
      <c r="K55"/>
      <c r="L55" s="98" t="s">
        <v>43</v>
      </c>
      <c r="M55" s="99" t="s">
        <v>44</v>
      </c>
      <c r="X55" s="64" t="s">
        <v>136</v>
      </c>
      <c r="Y55" s="64" t="s">
        <v>137</v>
      </c>
    </row>
    <row r="56" spans="7:25" ht="15" customHeight="1" thickTop="1">
      <c r="G56" s="94" t="s">
        <v>138</v>
      </c>
      <c r="H56" s="95" t="s">
        <v>139</v>
      </c>
      <c r="K56"/>
      <c r="L56"/>
      <c r="M56"/>
      <c r="X56" s="7" t="s">
        <v>14</v>
      </c>
      <c r="Y56" s="7" t="s">
        <v>15</v>
      </c>
    </row>
    <row r="57" spans="7:25" ht="15" customHeight="1">
      <c r="G57" s="94" t="s">
        <v>140</v>
      </c>
      <c r="H57" s="95" t="s">
        <v>141</v>
      </c>
      <c r="K57"/>
      <c r="L57"/>
      <c r="M57"/>
      <c r="X57" s="8" t="s">
        <v>46</v>
      </c>
      <c r="Y57" s="8" t="s">
        <v>47</v>
      </c>
    </row>
    <row r="58" spans="7:25" ht="15" customHeight="1">
      <c r="G58" s="94" t="s">
        <v>80</v>
      </c>
      <c r="H58" s="95" t="s">
        <v>81</v>
      </c>
      <c r="K58"/>
      <c r="L58"/>
      <c r="M58"/>
      <c r="X58" s="8" t="s">
        <v>54</v>
      </c>
      <c r="Y58" s="8" t="s">
        <v>55</v>
      </c>
    </row>
    <row r="59" spans="7:25" ht="15" customHeight="1">
      <c r="G59" s="94" t="s">
        <v>84</v>
      </c>
      <c r="H59" s="95" t="s">
        <v>85</v>
      </c>
      <c r="K59"/>
      <c r="L59"/>
      <c r="M59"/>
      <c r="X59" s="8" t="s">
        <v>62</v>
      </c>
      <c r="Y59" s="8" t="s">
        <v>63</v>
      </c>
    </row>
    <row r="60" spans="7:25" ht="15" customHeight="1">
      <c r="G60" s="94" t="s">
        <v>142</v>
      </c>
      <c r="H60" s="95" t="s">
        <v>143</v>
      </c>
      <c r="K60"/>
      <c r="L60"/>
      <c r="M60"/>
      <c r="X60" s="8" t="s">
        <v>68</v>
      </c>
      <c r="Y60" s="8" t="s">
        <v>69</v>
      </c>
    </row>
    <row r="61" spans="7:25" ht="15" customHeight="1">
      <c r="G61" s="94" t="s">
        <v>144</v>
      </c>
      <c r="H61" s="95" t="s">
        <v>145</v>
      </c>
      <c r="K61"/>
      <c r="L61"/>
      <c r="M61"/>
      <c r="X61" s="8" t="s">
        <v>74</v>
      </c>
      <c r="Y61" s="8" t="s">
        <v>75</v>
      </c>
    </row>
    <row r="62" spans="7:25" ht="15" customHeight="1">
      <c r="G62" s="94" t="s">
        <v>146</v>
      </c>
      <c r="H62" s="95" t="s">
        <v>147</v>
      </c>
      <c r="K62"/>
      <c r="L62"/>
      <c r="M62"/>
      <c r="X62" s="8" t="s">
        <v>78</v>
      </c>
      <c r="Y62" s="8" t="s">
        <v>79</v>
      </c>
    </row>
    <row r="63" spans="7:25" ht="15" customHeight="1">
      <c r="G63" s="94" t="s">
        <v>148</v>
      </c>
      <c r="H63" s="95" t="s">
        <v>149</v>
      </c>
      <c r="K63"/>
      <c r="L63"/>
      <c r="M63"/>
      <c r="X63" s="8" t="s">
        <v>82</v>
      </c>
      <c r="Y63" s="8" t="s">
        <v>83</v>
      </c>
    </row>
    <row r="64" spans="7:25" ht="15" customHeight="1" thickBot="1">
      <c r="G64" s="96" t="s">
        <v>66</v>
      </c>
      <c r="H64" s="97" t="s">
        <v>88</v>
      </c>
      <c r="K64"/>
      <c r="L64"/>
      <c r="M64"/>
      <c r="X64" s="8" t="s">
        <v>86</v>
      </c>
      <c r="Y64" s="8" t="s">
        <v>87</v>
      </c>
    </row>
    <row r="65" spans="9:25" ht="15" customHeight="1">
      <c r="I65" s="16" t="s">
        <v>58</v>
      </c>
      <c r="J65" s="16" t="s">
        <v>93</v>
      </c>
      <c r="K65"/>
      <c r="L65"/>
      <c r="M65"/>
      <c r="X65" s="8" t="s">
        <v>91</v>
      </c>
      <c r="Y65" s="8" t="s">
        <v>92</v>
      </c>
    </row>
    <row r="66" spans="9:25" ht="15" customHeight="1">
      <c r="I66" s="16" t="s">
        <v>150</v>
      </c>
      <c r="J66" s="16" t="s">
        <v>151</v>
      </c>
      <c r="K66"/>
      <c r="L66"/>
      <c r="M66"/>
      <c r="X66" s="8" t="s">
        <v>94</v>
      </c>
      <c r="Y66" s="8" t="s">
        <v>95</v>
      </c>
    </row>
    <row r="67" spans="9:25" ht="15" customHeight="1">
      <c r="I67" s="16" t="s">
        <v>152</v>
      </c>
      <c r="J67" s="16" t="s">
        <v>153</v>
      </c>
      <c r="K67"/>
      <c r="L67"/>
      <c r="M67"/>
      <c r="X67" s="8" t="s">
        <v>96</v>
      </c>
      <c r="Y67" s="8" t="s">
        <v>97</v>
      </c>
    </row>
    <row r="68" spans="9:25" ht="15" customHeight="1">
      <c r="I68" s="16" t="s">
        <v>154</v>
      </c>
      <c r="J68" s="16" t="s">
        <v>155</v>
      </c>
      <c r="K68"/>
      <c r="L68"/>
      <c r="M68"/>
      <c r="X68" s="8" t="s">
        <v>98</v>
      </c>
      <c r="Y68" s="8" t="s">
        <v>99</v>
      </c>
    </row>
    <row r="69" spans="9:25" ht="15" customHeight="1">
      <c r="I69" s="20" t="s">
        <v>27</v>
      </c>
      <c r="J69" s="20" t="s">
        <v>28</v>
      </c>
      <c r="K69"/>
      <c r="L69"/>
      <c r="M69"/>
      <c r="X69" s="8" t="s">
        <v>100</v>
      </c>
      <c r="Y69" s="8" t="s">
        <v>101</v>
      </c>
    </row>
    <row r="70" spans="9:25" ht="15" customHeight="1">
      <c r="I70" s="20" t="s">
        <v>33</v>
      </c>
      <c r="J70" s="20" t="s">
        <v>34</v>
      </c>
      <c r="K70"/>
      <c r="L70"/>
      <c r="M70"/>
      <c r="X70" s="8" t="s">
        <v>104</v>
      </c>
      <c r="Y70" s="8" t="s">
        <v>105</v>
      </c>
    </row>
    <row r="71" spans="9:25" ht="15" customHeight="1">
      <c r="I71" s="20" t="s">
        <v>37</v>
      </c>
      <c r="J71" s="20" t="s">
        <v>38</v>
      </c>
      <c r="K71"/>
      <c r="L71"/>
      <c r="M71"/>
      <c r="X71" s="8" t="s">
        <v>108</v>
      </c>
      <c r="Y71" s="8" t="s">
        <v>109</v>
      </c>
    </row>
    <row r="72" spans="9:25" ht="15" customHeight="1">
      <c r="I72" s="20" t="s">
        <v>43</v>
      </c>
      <c r="J72" s="20" t="s">
        <v>44</v>
      </c>
      <c r="K72"/>
      <c r="L72"/>
      <c r="M72"/>
      <c r="X72" s="8" t="s">
        <v>112</v>
      </c>
      <c r="Y72" s="8" t="s">
        <v>113</v>
      </c>
    </row>
    <row r="73" spans="9:25" ht="15" customHeight="1">
      <c r="K73"/>
      <c r="L73"/>
      <c r="M73"/>
      <c r="X73" s="8" t="s">
        <v>116</v>
      </c>
      <c r="Y73" s="8" t="s">
        <v>117</v>
      </c>
    </row>
    <row r="74" spans="9:25" ht="15" customHeight="1">
      <c r="X74" s="16" t="s">
        <v>124</v>
      </c>
      <c r="Y74" s="16" t="s">
        <v>125</v>
      </c>
    </row>
    <row r="75" spans="9:25" ht="15" customHeight="1">
      <c r="X75" s="16" t="s">
        <v>80</v>
      </c>
      <c r="Y75" s="16" t="s">
        <v>81</v>
      </c>
    </row>
    <row r="76" spans="9:25" ht="15" customHeight="1">
      <c r="X76" s="16" t="s">
        <v>128</v>
      </c>
      <c r="Y76" s="16" t="s">
        <v>129</v>
      </c>
    </row>
    <row r="77" spans="9:25" ht="15" customHeight="1">
      <c r="X77" s="16" t="s">
        <v>156</v>
      </c>
      <c r="Y77" s="16" t="s">
        <v>157</v>
      </c>
    </row>
    <row r="78" spans="9:25" ht="15" customHeight="1">
      <c r="X78" s="16" t="s">
        <v>158</v>
      </c>
      <c r="Y78" s="16" t="s">
        <v>159</v>
      </c>
    </row>
    <row r="79" spans="9:25" ht="15" customHeight="1">
      <c r="X79" s="16" t="s">
        <v>160</v>
      </c>
      <c r="Y79" s="16" t="s">
        <v>161</v>
      </c>
    </row>
    <row r="80" spans="9:25" ht="15" customHeight="1">
      <c r="X80" s="16" t="s">
        <v>162</v>
      </c>
      <c r="Y80" s="16" t="s">
        <v>163</v>
      </c>
    </row>
    <row r="81" spans="24:25" ht="15" customHeight="1">
      <c r="X81" s="16" t="s">
        <v>164</v>
      </c>
      <c r="Y81" s="16" t="s">
        <v>165</v>
      </c>
    </row>
    <row r="82" spans="24:25" ht="15" customHeight="1">
      <c r="X82" s="16" t="s">
        <v>166</v>
      </c>
      <c r="Y82" s="16" t="s">
        <v>167</v>
      </c>
    </row>
    <row r="83" spans="24:25" ht="15" customHeight="1">
      <c r="X83" s="16" t="s">
        <v>168</v>
      </c>
      <c r="Y83" s="16" t="s">
        <v>169</v>
      </c>
    </row>
    <row r="84" spans="24:25" ht="15" customHeight="1">
      <c r="X84" s="16" t="s">
        <v>170</v>
      </c>
      <c r="Y84" s="16" t="s">
        <v>171</v>
      </c>
    </row>
    <row r="85" spans="24:25" ht="15" customHeight="1">
      <c r="X85" s="16" t="s">
        <v>172</v>
      </c>
      <c r="Y85" s="16" t="s">
        <v>173</v>
      </c>
    </row>
    <row r="86" spans="24:25" ht="15" customHeight="1">
      <c r="X86" s="16" t="s">
        <v>174</v>
      </c>
      <c r="Y86" s="16" t="s">
        <v>175</v>
      </c>
    </row>
    <row r="87" spans="24:25" ht="15" customHeight="1">
      <c r="X87" s="16" t="s">
        <v>176</v>
      </c>
      <c r="Y87" s="16" t="s">
        <v>177</v>
      </c>
    </row>
    <row r="88" spans="24:25" ht="15" customHeight="1">
      <c r="X88" s="16" t="s">
        <v>178</v>
      </c>
      <c r="Y88" s="16" t="s">
        <v>179</v>
      </c>
    </row>
    <row r="89" spans="24:25" ht="15" customHeight="1">
      <c r="X89" s="16" t="s">
        <v>180</v>
      </c>
      <c r="Y89" s="16" t="s">
        <v>181</v>
      </c>
    </row>
    <row r="90" spans="24:25" ht="15" customHeight="1">
      <c r="X90" s="16" t="s">
        <v>182</v>
      </c>
      <c r="Y90" s="16" t="s">
        <v>183</v>
      </c>
    </row>
    <row r="91" spans="24:25" ht="15" customHeight="1">
      <c r="X91" s="16" t="s">
        <v>184</v>
      </c>
      <c r="Y91" s="16" t="s">
        <v>185</v>
      </c>
    </row>
    <row r="92" spans="24:25" ht="15" customHeight="1">
      <c r="X92" s="16" t="s">
        <v>186</v>
      </c>
      <c r="Y92" s="16" t="s">
        <v>187</v>
      </c>
    </row>
    <row r="93" spans="24:25" ht="15" customHeight="1">
      <c r="X93" s="16" t="s">
        <v>188</v>
      </c>
      <c r="Y93" s="16" t="s">
        <v>189</v>
      </c>
    </row>
    <row r="94" spans="24:25" ht="15" customHeight="1">
      <c r="X94" s="16" t="s">
        <v>190</v>
      </c>
      <c r="Y94" s="16" t="s">
        <v>191</v>
      </c>
    </row>
    <row r="95" spans="24:25" ht="15" customHeight="1">
      <c r="X95" s="16" t="s">
        <v>192</v>
      </c>
      <c r="Y95" s="16" t="s">
        <v>193</v>
      </c>
    </row>
    <row r="96" spans="24:25" ht="15" customHeight="1">
      <c r="X96" s="16" t="s">
        <v>194</v>
      </c>
      <c r="Y96" s="16" t="s">
        <v>195</v>
      </c>
    </row>
    <row r="97" spans="24:25" ht="15" customHeight="1">
      <c r="X97" s="16" t="s">
        <v>196</v>
      </c>
      <c r="Y97" s="16" t="s">
        <v>197</v>
      </c>
    </row>
    <row r="98" spans="24:25" ht="15" customHeight="1">
      <c r="X98" s="16" t="s">
        <v>198</v>
      </c>
      <c r="Y98" s="16" t="s">
        <v>199</v>
      </c>
    </row>
    <row r="99" spans="24:25" ht="15" customHeight="1">
      <c r="X99" s="16" t="s">
        <v>200</v>
      </c>
      <c r="Y99" s="16" t="s">
        <v>201</v>
      </c>
    </row>
    <row r="100" spans="24:25" ht="15" customHeight="1">
      <c r="X100" s="16" t="s">
        <v>202</v>
      </c>
      <c r="Y100" s="16" t="s">
        <v>203</v>
      </c>
    </row>
    <row r="101" spans="24:25" ht="15" customHeight="1">
      <c r="X101" s="16" t="s">
        <v>204</v>
      </c>
      <c r="Y101" s="16" t="s">
        <v>205</v>
      </c>
    </row>
    <row r="102" spans="24:25" ht="15" customHeight="1">
      <c r="X102" s="16" t="s">
        <v>206</v>
      </c>
      <c r="Y102" s="16" t="s">
        <v>207</v>
      </c>
    </row>
    <row r="103" spans="24:25" ht="15" customHeight="1">
      <c r="X103" s="16" t="s">
        <v>208</v>
      </c>
      <c r="Y103" s="16" t="s">
        <v>209</v>
      </c>
    </row>
    <row r="104" spans="24:25" ht="15" customHeight="1">
      <c r="X104" s="16" t="s">
        <v>210</v>
      </c>
      <c r="Y104" s="16" t="s">
        <v>211</v>
      </c>
    </row>
    <row r="105" spans="24:25" ht="15" customHeight="1">
      <c r="X105" s="16" t="s">
        <v>212</v>
      </c>
      <c r="Y105" s="16" t="s">
        <v>213</v>
      </c>
    </row>
    <row r="106" spans="24:25" ht="15" customHeight="1">
      <c r="X106" s="16" t="s">
        <v>214</v>
      </c>
      <c r="Y106" s="16" t="s">
        <v>215</v>
      </c>
    </row>
    <row r="107" spans="24:25" ht="15" customHeight="1">
      <c r="X107" s="16" t="s">
        <v>216</v>
      </c>
      <c r="Y107" s="16" t="s">
        <v>217</v>
      </c>
    </row>
    <row r="108" spans="24:25" ht="15" customHeight="1">
      <c r="X108" s="16" t="s">
        <v>218</v>
      </c>
      <c r="Y108" s="16" t="s">
        <v>219</v>
      </c>
    </row>
    <row r="109" spans="24:25" ht="15" customHeight="1">
      <c r="X109" s="16" t="s">
        <v>220</v>
      </c>
      <c r="Y109" s="16" t="s">
        <v>221</v>
      </c>
    </row>
    <row r="110" spans="24:25" ht="15" customHeight="1">
      <c r="X110" s="16" t="s">
        <v>222</v>
      </c>
      <c r="Y110" s="16" t="s">
        <v>223</v>
      </c>
    </row>
    <row r="111" spans="24:25" ht="15" customHeight="1">
      <c r="X111" s="16" t="s">
        <v>224</v>
      </c>
      <c r="Y111" s="16" t="s">
        <v>225</v>
      </c>
    </row>
    <row r="112" spans="24:25" ht="15" customHeight="1">
      <c r="X112" s="16" t="s">
        <v>226</v>
      </c>
      <c r="Y112" s="16" t="s">
        <v>227</v>
      </c>
    </row>
    <row r="113" spans="24:25" ht="15" customHeight="1">
      <c r="X113" s="16" t="s">
        <v>228</v>
      </c>
      <c r="Y113" s="16" t="s">
        <v>229</v>
      </c>
    </row>
    <row r="114" spans="24:25" ht="15" customHeight="1">
      <c r="X114" s="16" t="s">
        <v>230</v>
      </c>
      <c r="Y114" s="16" t="s">
        <v>231</v>
      </c>
    </row>
    <row r="115" spans="24:25" ht="15" customHeight="1">
      <c r="X115" s="16" t="s">
        <v>232</v>
      </c>
      <c r="Y115" s="16" t="s">
        <v>233</v>
      </c>
    </row>
    <row r="116" spans="24:25" ht="15" customHeight="1">
      <c r="X116" s="16" t="s">
        <v>234</v>
      </c>
      <c r="Y116" s="16" t="s">
        <v>235</v>
      </c>
    </row>
    <row r="117" spans="24:25" ht="15" customHeight="1">
      <c r="X117" s="16" t="s">
        <v>236</v>
      </c>
      <c r="Y117" s="16" t="s">
        <v>237</v>
      </c>
    </row>
    <row r="118" spans="24:25" ht="15" customHeight="1">
      <c r="X118" s="16" t="s">
        <v>238</v>
      </c>
      <c r="Y118" s="16" t="s">
        <v>239</v>
      </c>
    </row>
    <row r="119" spans="24:25" ht="15" customHeight="1">
      <c r="X119" s="16" t="s">
        <v>240</v>
      </c>
      <c r="Y119" s="16" t="s">
        <v>241</v>
      </c>
    </row>
    <row r="120" spans="24:25" ht="15" customHeight="1">
      <c r="X120" s="16" t="s">
        <v>242</v>
      </c>
      <c r="Y120" s="16" t="s">
        <v>243</v>
      </c>
    </row>
    <row r="121" spans="24:25" ht="15" customHeight="1">
      <c r="X121" s="16" t="s">
        <v>244</v>
      </c>
      <c r="Y121" s="16" t="s">
        <v>245</v>
      </c>
    </row>
    <row r="122" spans="24:25" ht="15" customHeight="1">
      <c r="X122" s="16" t="s">
        <v>246</v>
      </c>
      <c r="Y122" s="16" t="s">
        <v>247</v>
      </c>
    </row>
    <row r="123" spans="24:25" ht="15" customHeight="1">
      <c r="X123" s="16" t="s">
        <v>248</v>
      </c>
      <c r="Y123" s="16" t="s">
        <v>249</v>
      </c>
    </row>
    <row r="124" spans="24:25" ht="15" customHeight="1">
      <c r="X124" s="16" t="s">
        <v>250</v>
      </c>
      <c r="Y124" s="16" t="s">
        <v>251</v>
      </c>
    </row>
    <row r="125" spans="24:25" ht="15" customHeight="1">
      <c r="X125" s="16" t="s">
        <v>252</v>
      </c>
      <c r="Y125" s="16" t="s">
        <v>253</v>
      </c>
    </row>
    <row r="126" spans="24:25" ht="15" customHeight="1">
      <c r="X126" s="20" t="s">
        <v>27</v>
      </c>
      <c r="Y126" s="20" t="s">
        <v>28</v>
      </c>
    </row>
    <row r="127" spans="24:25" ht="15" customHeight="1">
      <c r="X127" s="20" t="s">
        <v>33</v>
      </c>
      <c r="Y127" s="20" t="s">
        <v>34</v>
      </c>
    </row>
    <row r="128" spans="24:25" ht="15" customHeight="1">
      <c r="X128" s="20" t="s">
        <v>37</v>
      </c>
      <c r="Y128" s="20" t="s">
        <v>38</v>
      </c>
    </row>
    <row r="129" spans="4:43" ht="15" customHeight="1" thickTop="1">
      <c r="X129" s="8" t="s">
        <v>43</v>
      </c>
      <c r="Y129" s="8" t="s">
        <v>44</v>
      </c>
    </row>
    <row r="130" spans="4:43" ht="15" customHeight="1">
      <c r="X130" s="41"/>
      <c r="Y130" s="41"/>
    </row>
    <row r="144" spans="4:43" ht="15" customHeight="1">
      <c r="D144" s="66"/>
      <c r="E144" s="66"/>
      <c r="F144" s="66"/>
      <c r="G144" s="66"/>
      <c r="H144" s="66"/>
      <c r="N144" s="66"/>
      <c r="O144" s="66"/>
      <c r="P144" s="66"/>
      <c r="Q144" s="66"/>
      <c r="R144" s="66"/>
      <c r="X144" s="66"/>
      <c r="Y144" s="66"/>
      <c r="Z144" s="66"/>
      <c r="AA144" s="66"/>
      <c r="AB144" s="66"/>
      <c r="AC144" s="66"/>
      <c r="AD144" s="66"/>
      <c r="AE144" s="66"/>
      <c r="AI144" s="66"/>
      <c r="AJ144" s="66"/>
      <c r="AK144" s="66"/>
      <c r="AN144" s="66"/>
      <c r="AO144" s="66"/>
      <c r="AP144" s="66"/>
      <c r="AQ144" s="66"/>
    </row>
    <row r="145" spans="3:47" ht="15" customHeight="1">
      <c r="D145" s="66"/>
      <c r="E145" s="66"/>
      <c r="F145" s="66"/>
      <c r="G145" s="66"/>
      <c r="H145" s="66"/>
      <c r="N145" s="66"/>
      <c r="O145" s="66"/>
      <c r="P145" s="66"/>
      <c r="Q145" s="66"/>
      <c r="R145" s="66"/>
      <c r="X145" s="66"/>
      <c r="Y145" s="66"/>
      <c r="Z145" s="66"/>
      <c r="AA145" s="66"/>
      <c r="AB145" s="66"/>
      <c r="AC145" s="66"/>
      <c r="AD145" s="66"/>
      <c r="AE145" s="66"/>
      <c r="AI145" s="66"/>
      <c r="AJ145" s="66"/>
      <c r="AK145" s="66"/>
      <c r="AN145" s="66"/>
      <c r="AO145" s="66"/>
      <c r="AP145" s="66"/>
      <c r="AQ145" s="66"/>
    </row>
    <row r="150" spans="3:47" customFormat="1" ht="15" customHeight="1" thickBot="1">
      <c r="C150" s="40"/>
      <c r="D150" s="40"/>
      <c r="I150" s="40"/>
      <c r="J150" s="40"/>
      <c r="K150" s="40"/>
      <c r="L150" s="40"/>
      <c r="M150" s="40"/>
    </row>
    <row r="151" spans="3:47" customFormat="1" ht="15" customHeight="1" thickTop="1">
      <c r="C151" s="40"/>
      <c r="D151" s="40"/>
      <c r="E151" s="40"/>
      <c r="F151" s="64" t="s">
        <v>254</v>
      </c>
      <c r="G151" s="64" t="s">
        <v>255</v>
      </c>
      <c r="H151" s="40"/>
      <c r="I151" s="40"/>
      <c r="J151" s="40"/>
      <c r="K151" s="40"/>
      <c r="L151" s="40"/>
      <c r="M151" s="40"/>
      <c r="S151" s="40"/>
      <c r="T151" s="40"/>
      <c r="V151" s="90" t="s">
        <v>256</v>
      </c>
      <c r="W151" s="91" t="s">
        <v>257</v>
      </c>
      <c r="Y151" s="90" t="s">
        <v>258</v>
      </c>
      <c r="Z151" s="91" t="s">
        <v>259</v>
      </c>
      <c r="AK151" s="64" t="s">
        <v>260</v>
      </c>
      <c r="AL151" s="64" t="s">
        <v>261</v>
      </c>
      <c r="AP151" s="64" t="s">
        <v>262</v>
      </c>
      <c r="AQ151" s="64" t="s">
        <v>263</v>
      </c>
      <c r="AT151" s="90" t="s">
        <v>264</v>
      </c>
      <c r="AU151" s="91" t="s">
        <v>265</v>
      </c>
    </row>
    <row r="152" spans="3:47" customFormat="1" ht="15" customHeight="1">
      <c r="C152" s="40"/>
      <c r="D152" s="40"/>
      <c r="E152" s="40"/>
      <c r="F152" s="7" t="s">
        <v>14</v>
      </c>
      <c r="G152" s="7" t="s">
        <v>15</v>
      </c>
      <c r="H152" s="40"/>
      <c r="I152" s="40"/>
      <c r="J152" s="40"/>
      <c r="K152" s="40"/>
      <c r="L152" s="40"/>
      <c r="M152" s="40"/>
      <c r="S152" s="41"/>
      <c r="T152" s="41"/>
      <c r="V152" s="92" t="s">
        <v>14</v>
      </c>
      <c r="W152" s="93" t="s">
        <v>15</v>
      </c>
      <c r="Y152" s="92" t="s">
        <v>14</v>
      </c>
      <c r="Z152" s="93" t="s">
        <v>15</v>
      </c>
      <c r="AK152" s="7" t="s">
        <v>14</v>
      </c>
      <c r="AL152" s="7" t="s">
        <v>15</v>
      </c>
      <c r="AP152" s="7" t="s">
        <v>14</v>
      </c>
      <c r="AQ152" s="7" t="s">
        <v>15</v>
      </c>
      <c r="AT152" s="92" t="s">
        <v>14</v>
      </c>
      <c r="AU152" s="93" t="s">
        <v>15</v>
      </c>
    </row>
    <row r="153" spans="3:47" customFormat="1" ht="15" customHeight="1">
      <c r="C153" s="40"/>
      <c r="D153" s="40"/>
      <c r="E153" s="40"/>
      <c r="F153" s="8" t="s">
        <v>16</v>
      </c>
      <c r="G153" s="8" t="s">
        <v>17</v>
      </c>
      <c r="H153" s="40"/>
      <c r="I153" s="40"/>
      <c r="J153" s="40"/>
      <c r="K153" s="40"/>
      <c r="L153" s="40"/>
      <c r="M153" s="40"/>
      <c r="S153" s="41"/>
      <c r="T153" s="41"/>
      <c r="V153" s="100" t="s">
        <v>266</v>
      </c>
      <c r="W153" s="101" t="s">
        <v>267</v>
      </c>
      <c r="Y153" s="94" t="s">
        <v>268</v>
      </c>
      <c r="Z153" s="95" t="s">
        <v>269</v>
      </c>
      <c r="AK153" s="8" t="s">
        <v>16</v>
      </c>
      <c r="AL153" s="8" t="s">
        <v>17</v>
      </c>
      <c r="AP153" s="8" t="s">
        <v>16</v>
      </c>
      <c r="AQ153" s="42" t="s">
        <v>17</v>
      </c>
      <c r="AT153" s="102" t="s">
        <v>270</v>
      </c>
      <c r="AU153" s="103" t="s">
        <v>271</v>
      </c>
    </row>
    <row r="154" spans="3:47" customFormat="1" ht="15" customHeight="1">
      <c r="C154" s="40"/>
      <c r="D154" s="40"/>
      <c r="E154" s="40"/>
      <c r="F154" s="8" t="s">
        <v>22</v>
      </c>
      <c r="G154" s="8" t="s">
        <v>23</v>
      </c>
      <c r="H154" s="40"/>
      <c r="I154" s="40"/>
      <c r="J154" s="40"/>
      <c r="K154" s="40"/>
      <c r="L154" s="40"/>
      <c r="M154" s="40"/>
      <c r="S154" s="41"/>
      <c r="T154" s="41"/>
      <c r="V154" s="100" t="s">
        <v>270</v>
      </c>
      <c r="W154" s="101" t="s">
        <v>272</v>
      </c>
      <c r="Y154" s="94" t="s">
        <v>270</v>
      </c>
      <c r="Z154" s="95" t="s">
        <v>273</v>
      </c>
      <c r="AK154" s="8" t="s">
        <v>22</v>
      </c>
      <c r="AL154" s="8" t="s">
        <v>23</v>
      </c>
      <c r="AP154" s="8" t="s">
        <v>22</v>
      </c>
      <c r="AQ154" s="42" t="s">
        <v>23</v>
      </c>
      <c r="AT154" s="102" t="s">
        <v>274</v>
      </c>
      <c r="AU154" s="103" t="s">
        <v>267</v>
      </c>
    </row>
    <row r="155" spans="3:47" customFormat="1" ht="15" customHeight="1">
      <c r="C155" s="40"/>
      <c r="D155" s="40"/>
      <c r="E155" s="40"/>
      <c r="F155" s="8" t="s">
        <v>25</v>
      </c>
      <c r="G155" s="8" t="s">
        <v>26</v>
      </c>
      <c r="H155" s="40"/>
      <c r="I155" s="40"/>
      <c r="J155" s="40"/>
      <c r="K155" s="40"/>
      <c r="L155" s="40"/>
      <c r="M155" s="40"/>
      <c r="S155" s="41"/>
      <c r="T155" s="41"/>
      <c r="V155" s="100" t="s">
        <v>275</v>
      </c>
      <c r="W155" s="101" t="s">
        <v>276</v>
      </c>
      <c r="Y155" s="100" t="s">
        <v>275</v>
      </c>
      <c r="Z155" s="101" t="s">
        <v>276</v>
      </c>
      <c r="AK155" s="8" t="s">
        <v>25</v>
      </c>
      <c r="AL155" s="8" t="s">
        <v>26</v>
      </c>
      <c r="AP155" s="8" t="s">
        <v>25</v>
      </c>
      <c r="AQ155" s="42" t="s">
        <v>26</v>
      </c>
      <c r="AT155" s="102" t="s">
        <v>277</v>
      </c>
      <c r="AU155" s="103" t="s">
        <v>278</v>
      </c>
    </row>
    <row r="156" spans="3:47" customFormat="1" ht="15" customHeight="1">
      <c r="C156" s="40"/>
      <c r="D156" s="40"/>
      <c r="E156" s="40"/>
      <c r="F156" s="8" t="s">
        <v>31</v>
      </c>
      <c r="G156" s="8" t="s">
        <v>32</v>
      </c>
      <c r="H156" s="40"/>
      <c r="I156" s="40"/>
      <c r="J156" s="40"/>
      <c r="K156" s="40"/>
      <c r="L156" s="40"/>
      <c r="M156" s="40"/>
      <c r="S156" s="40"/>
      <c r="T156" s="40"/>
      <c r="V156" s="94" t="s">
        <v>122</v>
      </c>
      <c r="W156" s="101" t="s">
        <v>123</v>
      </c>
      <c r="Y156" s="94" t="s">
        <v>279</v>
      </c>
      <c r="Z156" s="95" t="s">
        <v>280</v>
      </c>
      <c r="AK156" s="8" t="s">
        <v>31</v>
      </c>
      <c r="AL156" s="8" t="s">
        <v>32</v>
      </c>
      <c r="AP156" s="47" t="s">
        <v>31</v>
      </c>
      <c r="AQ156" s="8" t="s">
        <v>32</v>
      </c>
      <c r="AT156" s="102" t="s">
        <v>122</v>
      </c>
      <c r="AU156" s="103" t="s">
        <v>281</v>
      </c>
    </row>
    <row r="157" spans="3:47" customFormat="1" ht="15" customHeight="1">
      <c r="C157" s="40"/>
      <c r="D157" s="40"/>
      <c r="E157" s="40"/>
      <c r="F157" s="8" t="s">
        <v>35</v>
      </c>
      <c r="G157" s="8" t="s">
        <v>36</v>
      </c>
      <c r="H157" s="40"/>
      <c r="I157" s="40"/>
      <c r="J157" s="40"/>
      <c r="K157" s="40"/>
      <c r="L157" s="40"/>
      <c r="M157" s="40"/>
      <c r="S157" s="41"/>
      <c r="T157" s="41"/>
      <c r="V157" s="94" t="s">
        <v>282</v>
      </c>
      <c r="W157" s="95" t="s">
        <v>283</v>
      </c>
      <c r="Y157" s="94" t="s">
        <v>284</v>
      </c>
      <c r="Z157" s="95" t="s">
        <v>285</v>
      </c>
      <c r="AK157" s="8" t="s">
        <v>35</v>
      </c>
      <c r="AL157" s="8" t="s">
        <v>36</v>
      </c>
      <c r="AP157" s="47" t="s">
        <v>35</v>
      </c>
      <c r="AQ157" s="8" t="s">
        <v>36</v>
      </c>
      <c r="AT157" s="102" t="s">
        <v>20</v>
      </c>
      <c r="AU157" s="103" t="s">
        <v>21</v>
      </c>
    </row>
    <row r="158" spans="3:47" customFormat="1" ht="15" customHeight="1">
      <c r="C158" s="40"/>
      <c r="D158" s="40"/>
      <c r="E158" s="40"/>
      <c r="F158" s="8" t="s">
        <v>286</v>
      </c>
      <c r="G158" s="8" t="s">
        <v>287</v>
      </c>
      <c r="H158" s="40"/>
      <c r="I158" s="40"/>
      <c r="J158" s="40"/>
      <c r="K158" s="40"/>
      <c r="L158" s="40"/>
      <c r="M158" s="40"/>
      <c r="S158" s="106"/>
      <c r="T158" s="106"/>
      <c r="V158" s="94" t="s">
        <v>288</v>
      </c>
      <c r="W158" s="95" t="s">
        <v>289</v>
      </c>
      <c r="Y158" s="94" t="s">
        <v>290</v>
      </c>
      <c r="Z158" s="95" t="s">
        <v>291</v>
      </c>
      <c r="AK158" s="8" t="s">
        <v>270</v>
      </c>
      <c r="AL158" s="8" t="s">
        <v>292</v>
      </c>
      <c r="AP158" s="8" t="s">
        <v>270</v>
      </c>
      <c r="AQ158" s="42" t="s">
        <v>293</v>
      </c>
      <c r="AT158" s="102" t="s">
        <v>275</v>
      </c>
      <c r="AU158" s="103" t="s">
        <v>294</v>
      </c>
    </row>
    <row r="159" spans="3:47" customFormat="1" ht="15" customHeight="1">
      <c r="C159" s="40"/>
      <c r="D159" s="40"/>
      <c r="E159" s="40"/>
      <c r="F159" s="8" t="s">
        <v>295</v>
      </c>
      <c r="G159" s="8" t="s">
        <v>296</v>
      </c>
      <c r="H159" s="40"/>
      <c r="I159" s="40"/>
      <c r="J159" s="40"/>
      <c r="K159" s="40"/>
      <c r="L159" s="40"/>
      <c r="M159" s="40"/>
      <c r="S159" s="106"/>
      <c r="T159" s="106"/>
      <c r="V159" s="94" t="s">
        <v>297</v>
      </c>
      <c r="W159" s="95" t="s">
        <v>298</v>
      </c>
      <c r="Y159" s="94" t="s">
        <v>299</v>
      </c>
      <c r="Z159" s="95" t="s">
        <v>300</v>
      </c>
      <c r="AK159" s="8" t="s">
        <v>274</v>
      </c>
      <c r="AL159" s="8" t="s">
        <v>301</v>
      </c>
      <c r="AP159" s="8" t="s">
        <v>274</v>
      </c>
      <c r="AQ159" s="42" t="s">
        <v>301</v>
      </c>
      <c r="AT159" s="102" t="s">
        <v>302</v>
      </c>
      <c r="AU159" s="103" t="s">
        <v>303</v>
      </c>
    </row>
    <row r="160" spans="3:47" customFormat="1" ht="15" customHeight="1" thickBot="1">
      <c r="C160" s="40"/>
      <c r="D160" s="40"/>
      <c r="E160" s="40"/>
      <c r="F160" s="8" t="s">
        <v>304</v>
      </c>
      <c r="G160" s="8" t="s">
        <v>305</v>
      </c>
      <c r="H160" s="40"/>
      <c r="I160" s="40"/>
      <c r="J160" s="40"/>
      <c r="K160" s="40"/>
      <c r="L160" s="40"/>
      <c r="M160" s="40"/>
      <c r="S160" s="106"/>
      <c r="T160" s="106"/>
      <c r="V160" s="98" t="s">
        <v>306</v>
      </c>
      <c r="W160" s="99" t="s">
        <v>307</v>
      </c>
      <c r="Y160" s="94" t="s">
        <v>308</v>
      </c>
      <c r="Z160" s="95" t="s">
        <v>309</v>
      </c>
      <c r="AK160" s="8" t="s">
        <v>46</v>
      </c>
      <c r="AL160" s="8" t="s">
        <v>310</v>
      </c>
      <c r="AP160" s="8" t="s">
        <v>122</v>
      </c>
      <c r="AQ160" s="42" t="s">
        <v>123</v>
      </c>
      <c r="AT160" s="102" t="s">
        <v>311</v>
      </c>
      <c r="AU160" s="103" t="s">
        <v>312</v>
      </c>
    </row>
    <row r="161" spans="3:47" customFormat="1" ht="15" customHeight="1" thickTop="1" thickBot="1">
      <c r="C161" s="40"/>
      <c r="D161" s="40"/>
      <c r="E161" s="40"/>
      <c r="F161" s="8" t="s">
        <v>313</v>
      </c>
      <c r="G161" s="8" t="s">
        <v>314</v>
      </c>
      <c r="H161" s="40"/>
      <c r="I161" s="40"/>
      <c r="J161" s="40"/>
      <c r="K161" s="40"/>
      <c r="L161" s="40"/>
      <c r="M161" s="40"/>
      <c r="Y161" s="94" t="s">
        <v>315</v>
      </c>
      <c r="Z161" s="95" t="s">
        <v>316</v>
      </c>
      <c r="AK161" s="8" t="s">
        <v>122</v>
      </c>
      <c r="AL161" s="8" t="s">
        <v>123</v>
      </c>
      <c r="AP161" s="47" t="s">
        <v>317</v>
      </c>
      <c r="AQ161" s="8" t="s">
        <v>19</v>
      </c>
      <c r="AT161" s="104" t="s">
        <v>318</v>
      </c>
      <c r="AU161" s="105" t="s">
        <v>319</v>
      </c>
    </row>
    <row r="162" spans="3:47" customFormat="1" ht="15" customHeight="1" thickTop="1">
      <c r="C162" s="40"/>
      <c r="D162" s="40"/>
      <c r="E162" s="40"/>
      <c r="F162" s="8" t="s">
        <v>320</v>
      </c>
      <c r="G162" s="8" t="s">
        <v>321</v>
      </c>
      <c r="H162" s="40"/>
      <c r="I162" s="40"/>
      <c r="J162" s="40"/>
      <c r="K162" s="40"/>
      <c r="L162" s="40"/>
      <c r="M162" s="40"/>
      <c r="Y162" s="102" t="s">
        <v>322</v>
      </c>
      <c r="Z162" s="95" t="s">
        <v>323</v>
      </c>
      <c r="AK162" s="8" t="s">
        <v>18</v>
      </c>
      <c r="AL162" s="8" t="s">
        <v>19</v>
      </c>
      <c r="AP162" s="47" t="s">
        <v>20</v>
      </c>
      <c r="AQ162" s="8" t="s">
        <v>21</v>
      </c>
    </row>
    <row r="163" spans="3:47" customFormat="1" ht="15" customHeight="1">
      <c r="C163" s="40"/>
      <c r="D163" s="40"/>
      <c r="E163" s="40"/>
      <c r="F163" s="8" t="s">
        <v>324</v>
      </c>
      <c r="G163" s="8" t="s">
        <v>325</v>
      </c>
      <c r="H163" s="40"/>
      <c r="I163" s="40"/>
      <c r="J163" s="40"/>
      <c r="K163" s="40"/>
      <c r="L163" s="40"/>
      <c r="M163" s="40"/>
      <c r="Y163" s="102" t="s">
        <v>326</v>
      </c>
      <c r="Z163" s="95" t="s">
        <v>327</v>
      </c>
      <c r="AK163" s="8" t="s">
        <v>20</v>
      </c>
      <c r="AL163" s="8" t="s">
        <v>21</v>
      </c>
      <c r="AP163" s="47" t="s">
        <v>328</v>
      </c>
      <c r="AQ163" s="8" t="s">
        <v>329</v>
      </c>
    </row>
    <row r="164" spans="3:47" customFormat="1" ht="15" customHeight="1">
      <c r="C164" s="40"/>
      <c r="D164" s="40"/>
      <c r="E164" s="40"/>
      <c r="F164" s="8" t="s">
        <v>330</v>
      </c>
      <c r="G164" s="8" t="s">
        <v>331</v>
      </c>
      <c r="H164" s="40"/>
      <c r="I164" s="40"/>
      <c r="J164" s="40"/>
      <c r="K164" s="40"/>
      <c r="L164" s="40"/>
      <c r="M164" s="40"/>
      <c r="Y164" s="102" t="s">
        <v>332</v>
      </c>
      <c r="Z164" s="95" t="s">
        <v>333</v>
      </c>
      <c r="AK164" s="8" t="s">
        <v>334</v>
      </c>
      <c r="AL164" s="8" t="s">
        <v>335</v>
      </c>
      <c r="AP164" s="47" t="s">
        <v>336</v>
      </c>
      <c r="AQ164" s="8" t="s">
        <v>337</v>
      </c>
    </row>
    <row r="165" spans="3:47" customFormat="1" ht="15" customHeight="1">
      <c r="C165" s="40"/>
      <c r="D165" s="40"/>
      <c r="E165" s="40"/>
      <c r="F165" s="8" t="s">
        <v>33</v>
      </c>
      <c r="G165" s="8" t="s">
        <v>338</v>
      </c>
      <c r="H165" s="40"/>
      <c r="I165" s="40"/>
      <c r="J165" s="40"/>
      <c r="K165" s="40"/>
      <c r="L165" s="40"/>
      <c r="M165" s="40"/>
      <c r="Y165" s="102" t="s">
        <v>339</v>
      </c>
      <c r="Z165" s="95" t="s">
        <v>340</v>
      </c>
      <c r="AK165" s="8" t="s">
        <v>341</v>
      </c>
      <c r="AL165" s="8" t="s">
        <v>342</v>
      </c>
      <c r="AP165" s="47" t="s">
        <v>343</v>
      </c>
      <c r="AQ165" s="8" t="s">
        <v>344</v>
      </c>
    </row>
    <row r="166" spans="3:47" customFormat="1" ht="15" customHeight="1">
      <c r="C166" s="40"/>
      <c r="D166" s="40"/>
      <c r="E166" s="40"/>
      <c r="F166" s="8" t="s">
        <v>345</v>
      </c>
      <c r="G166" s="8" t="s">
        <v>346</v>
      </c>
      <c r="H166" s="40"/>
      <c r="I166" s="40"/>
      <c r="J166" s="40"/>
      <c r="K166" s="40"/>
      <c r="L166" s="40"/>
      <c r="M166" s="40"/>
      <c r="Y166" s="102" t="s">
        <v>347</v>
      </c>
      <c r="Z166" s="95" t="s">
        <v>348</v>
      </c>
      <c r="AK166" s="8" t="s">
        <v>349</v>
      </c>
      <c r="AL166" s="8" t="s">
        <v>350</v>
      </c>
      <c r="AP166" s="47" t="s">
        <v>351</v>
      </c>
      <c r="AQ166" s="8" t="s">
        <v>352</v>
      </c>
    </row>
    <row r="167" spans="3:47" customFormat="1" ht="15" customHeight="1">
      <c r="C167" s="40"/>
      <c r="D167" s="40"/>
      <c r="E167" s="40"/>
      <c r="F167" s="8" t="s">
        <v>353</v>
      </c>
      <c r="G167" s="8" t="s">
        <v>354</v>
      </c>
      <c r="H167" s="40"/>
      <c r="I167" s="40"/>
      <c r="J167" s="40"/>
      <c r="K167" s="40"/>
      <c r="L167" s="40"/>
      <c r="M167" s="40"/>
      <c r="Y167" s="102" t="s">
        <v>355</v>
      </c>
      <c r="Z167" s="95" t="s">
        <v>356</v>
      </c>
      <c r="AK167" s="8" t="s">
        <v>357</v>
      </c>
      <c r="AL167" s="8" t="s">
        <v>358</v>
      </c>
      <c r="AP167" s="47" t="s">
        <v>359</v>
      </c>
      <c r="AQ167" s="8" t="s">
        <v>360</v>
      </c>
    </row>
    <row r="168" spans="3:47" customFormat="1" ht="15" customHeight="1">
      <c r="C168" s="40"/>
      <c r="D168" s="40"/>
      <c r="E168" s="40"/>
      <c r="F168" s="8" t="s">
        <v>361</v>
      </c>
      <c r="G168" s="8" t="s">
        <v>362</v>
      </c>
      <c r="H168" s="40"/>
      <c r="I168" s="40"/>
      <c r="J168" s="40"/>
      <c r="K168" s="40"/>
      <c r="L168" s="40"/>
      <c r="M168" s="40"/>
      <c r="Y168" s="102" t="s">
        <v>363</v>
      </c>
      <c r="Z168" s="95" t="s">
        <v>364</v>
      </c>
      <c r="AK168" s="8" t="s">
        <v>365</v>
      </c>
      <c r="AL168" s="8" t="s">
        <v>366</v>
      </c>
      <c r="AP168" s="47" t="s">
        <v>367</v>
      </c>
      <c r="AQ168" s="8" t="s">
        <v>368</v>
      </c>
    </row>
    <row r="169" spans="3:47" customFormat="1" ht="15" customHeight="1">
      <c r="C169" s="40"/>
      <c r="D169" s="40"/>
      <c r="E169" s="40"/>
      <c r="F169" s="8" t="s">
        <v>369</v>
      </c>
      <c r="G169" s="8" t="s">
        <v>370</v>
      </c>
      <c r="H169" s="40"/>
      <c r="I169" s="40"/>
      <c r="J169" s="40"/>
      <c r="K169" s="40"/>
      <c r="L169" s="40"/>
      <c r="M169" s="40"/>
      <c r="Y169" s="102" t="s">
        <v>371</v>
      </c>
      <c r="Z169" s="95" t="s">
        <v>372</v>
      </c>
      <c r="AK169" s="8" t="s">
        <v>373</v>
      </c>
      <c r="AL169" s="8" t="s">
        <v>374</v>
      </c>
      <c r="AP169" s="47" t="s">
        <v>375</v>
      </c>
      <c r="AQ169" s="8" t="s">
        <v>376</v>
      </c>
    </row>
    <row r="170" spans="3:47" customFormat="1" ht="15" customHeight="1">
      <c r="C170" s="40"/>
      <c r="D170" s="40"/>
      <c r="E170" s="40"/>
      <c r="F170" s="8" t="s">
        <v>377</v>
      </c>
      <c r="G170" s="16" t="s">
        <v>378</v>
      </c>
      <c r="H170" s="40"/>
      <c r="I170" s="40"/>
      <c r="J170" s="40"/>
      <c r="K170" s="40"/>
      <c r="L170" s="40"/>
      <c r="M170" s="40"/>
      <c r="Y170" s="102" t="s">
        <v>379</v>
      </c>
      <c r="Z170" s="101" t="s">
        <v>380</v>
      </c>
      <c r="AK170" s="16" t="s">
        <v>381</v>
      </c>
      <c r="AL170" s="16" t="s">
        <v>382</v>
      </c>
      <c r="AP170" s="47" t="s">
        <v>383</v>
      </c>
      <c r="AQ170" s="8" t="s">
        <v>384</v>
      </c>
    </row>
    <row r="171" spans="3:47" customFormat="1" ht="15" customHeight="1">
      <c r="C171" s="40"/>
      <c r="D171" s="40"/>
      <c r="E171" s="40"/>
      <c r="F171" s="8" t="s">
        <v>385</v>
      </c>
      <c r="G171" s="16" t="s">
        <v>386</v>
      </c>
      <c r="H171" s="40"/>
      <c r="I171" s="40"/>
      <c r="J171" s="40"/>
      <c r="K171" s="40"/>
      <c r="L171" s="40"/>
      <c r="M171" s="40"/>
      <c r="Y171" s="102" t="s">
        <v>387</v>
      </c>
      <c r="Z171" s="101" t="s">
        <v>388</v>
      </c>
      <c r="AK171" s="16" t="s">
        <v>389</v>
      </c>
      <c r="AL171" s="16" t="s">
        <v>390</v>
      </c>
      <c r="AP171" s="47" t="s">
        <v>391</v>
      </c>
      <c r="AQ171" s="8" t="s">
        <v>392</v>
      </c>
    </row>
    <row r="172" spans="3:47" customFormat="1" ht="15" customHeight="1">
      <c r="C172" s="40"/>
      <c r="D172" s="40"/>
      <c r="E172" s="40"/>
      <c r="F172" s="8" t="s">
        <v>393</v>
      </c>
      <c r="G172" s="16" t="s">
        <v>394</v>
      </c>
      <c r="H172" s="40"/>
      <c r="I172" s="40"/>
      <c r="J172" s="40"/>
      <c r="K172" s="40"/>
      <c r="L172" s="40"/>
      <c r="M172" s="40"/>
      <c r="Y172" s="102" t="s">
        <v>395</v>
      </c>
      <c r="Z172" s="101" t="s">
        <v>396</v>
      </c>
      <c r="AK172" s="16" t="s">
        <v>397</v>
      </c>
      <c r="AL172" s="16" t="s">
        <v>398</v>
      </c>
      <c r="AP172" s="47" t="s">
        <v>399</v>
      </c>
      <c r="AQ172" s="8" t="s">
        <v>400</v>
      </c>
    </row>
    <row r="173" spans="3:47" customFormat="1" ht="15" customHeight="1">
      <c r="C173" s="40"/>
      <c r="D173" s="40"/>
      <c r="E173" s="40"/>
      <c r="F173" s="8" t="s">
        <v>401</v>
      </c>
      <c r="G173" s="16" t="s">
        <v>402</v>
      </c>
      <c r="H173" s="40"/>
      <c r="I173" s="40"/>
      <c r="J173" s="40"/>
      <c r="K173" s="40"/>
      <c r="L173" s="40"/>
      <c r="M173" s="40"/>
      <c r="Y173" s="102" t="s">
        <v>403</v>
      </c>
      <c r="Z173" s="101" t="s">
        <v>404</v>
      </c>
      <c r="AK173" s="16" t="s">
        <v>405</v>
      </c>
      <c r="AL173" s="16" t="s">
        <v>406</v>
      </c>
      <c r="AP173" s="47" t="s">
        <v>407</v>
      </c>
      <c r="AQ173" s="8" t="s">
        <v>408</v>
      </c>
    </row>
    <row r="174" spans="3:47" customFormat="1" ht="15" customHeight="1">
      <c r="C174" s="40"/>
      <c r="D174" s="40"/>
      <c r="E174" s="40"/>
      <c r="F174" s="8" t="s">
        <v>409</v>
      </c>
      <c r="G174" s="16" t="s">
        <v>410</v>
      </c>
      <c r="H174" s="40"/>
      <c r="I174" s="40"/>
      <c r="J174" s="40"/>
      <c r="K174" s="40"/>
      <c r="L174" s="40"/>
      <c r="M174" s="40"/>
      <c r="Y174" s="94" t="s">
        <v>27</v>
      </c>
      <c r="Z174" s="95" t="s">
        <v>28</v>
      </c>
      <c r="AK174" s="16" t="s">
        <v>411</v>
      </c>
      <c r="AL174" s="16" t="s">
        <v>412</v>
      </c>
      <c r="AP174" s="47" t="s">
        <v>413</v>
      </c>
      <c r="AQ174" s="8" t="s">
        <v>414</v>
      </c>
    </row>
    <row r="175" spans="3:47" customFormat="1" ht="15" customHeight="1">
      <c r="C175" s="40"/>
      <c r="D175" s="40"/>
      <c r="E175" s="40"/>
      <c r="F175" s="8" t="s">
        <v>415</v>
      </c>
      <c r="G175" s="16" t="s">
        <v>416</v>
      </c>
      <c r="H175" s="40"/>
      <c r="I175" s="40"/>
      <c r="J175" s="40"/>
      <c r="K175" s="40"/>
      <c r="L175" s="40"/>
      <c r="M175" s="40"/>
      <c r="Y175" s="94" t="s">
        <v>33</v>
      </c>
      <c r="Z175" s="95" t="s">
        <v>34</v>
      </c>
      <c r="AK175" s="16" t="s">
        <v>417</v>
      </c>
      <c r="AL175" s="16" t="s">
        <v>418</v>
      </c>
    </row>
    <row r="176" spans="3:47" customFormat="1" ht="15" customHeight="1">
      <c r="C176" s="40"/>
      <c r="D176" s="40"/>
      <c r="E176" s="40"/>
      <c r="F176" s="8" t="s">
        <v>419</v>
      </c>
      <c r="G176" s="16" t="s">
        <v>420</v>
      </c>
      <c r="H176" s="40"/>
      <c r="I176" s="40"/>
      <c r="J176" s="40"/>
      <c r="K176" s="40"/>
      <c r="L176" s="40"/>
      <c r="M176" s="40"/>
      <c r="Y176" s="94" t="s">
        <v>37</v>
      </c>
      <c r="Z176" s="95" t="s">
        <v>38</v>
      </c>
      <c r="AK176" s="16" t="s">
        <v>421</v>
      </c>
      <c r="AL176" s="16" t="s">
        <v>422</v>
      </c>
    </row>
    <row r="177" spans="3:38" customFormat="1" ht="15" customHeight="1" thickBot="1">
      <c r="C177" s="40"/>
      <c r="D177" s="40"/>
      <c r="E177" s="40"/>
      <c r="F177" s="8" t="s">
        <v>423</v>
      </c>
      <c r="G177" s="16" t="s">
        <v>424</v>
      </c>
      <c r="H177" s="40"/>
      <c r="I177" s="40"/>
      <c r="J177" s="40"/>
      <c r="K177" s="40"/>
      <c r="L177" s="40"/>
      <c r="M177" s="40"/>
      <c r="Y177" s="98" t="s">
        <v>43</v>
      </c>
      <c r="Z177" s="99" t="s">
        <v>44</v>
      </c>
      <c r="AK177" s="16" t="s">
        <v>425</v>
      </c>
      <c r="AL177" s="16" t="s">
        <v>426</v>
      </c>
    </row>
    <row r="178" spans="3:38" customFormat="1" ht="15" customHeight="1" thickTop="1">
      <c r="C178" s="40"/>
      <c r="D178" s="40"/>
      <c r="E178" s="40"/>
      <c r="F178" s="8" t="s">
        <v>427</v>
      </c>
      <c r="G178" s="16" t="s">
        <v>428</v>
      </c>
      <c r="H178" s="40"/>
      <c r="I178" s="40"/>
      <c r="J178" s="40"/>
      <c r="K178" s="40"/>
      <c r="L178" s="40"/>
      <c r="M178" s="40"/>
    </row>
    <row r="179" spans="3:38" customFormat="1" ht="15" customHeight="1">
      <c r="C179" s="40"/>
      <c r="D179" s="40"/>
      <c r="E179" s="40"/>
      <c r="F179" s="8" t="s">
        <v>429</v>
      </c>
      <c r="G179" s="16" t="s">
        <v>430</v>
      </c>
      <c r="H179" s="40"/>
      <c r="I179" s="40"/>
      <c r="J179" s="40"/>
      <c r="K179" s="40"/>
      <c r="L179" s="40"/>
      <c r="M179" s="40"/>
    </row>
    <row r="180" spans="3:38" customFormat="1" ht="15" hidden="1" customHeight="1">
      <c r="C180" s="40"/>
      <c r="D180" s="40"/>
      <c r="E180" s="40"/>
      <c r="F180" s="8" t="s">
        <v>431</v>
      </c>
      <c r="G180" s="16" t="s">
        <v>432</v>
      </c>
      <c r="H180" s="40"/>
      <c r="I180" s="40"/>
      <c r="J180" s="40"/>
      <c r="K180" s="40"/>
      <c r="L180" s="40"/>
      <c r="M180" s="40"/>
    </row>
    <row r="181" spans="3:38" customFormat="1" ht="15" hidden="1" customHeight="1">
      <c r="C181" s="40"/>
      <c r="D181" s="40"/>
      <c r="E181" s="40"/>
      <c r="F181" s="8" t="s">
        <v>433</v>
      </c>
      <c r="G181" s="16" t="s">
        <v>434</v>
      </c>
      <c r="H181" s="40"/>
      <c r="I181" s="40"/>
      <c r="J181" s="40"/>
      <c r="K181" s="40"/>
      <c r="L181" s="40"/>
      <c r="M181" s="40"/>
    </row>
    <row r="182" spans="3:38" customFormat="1" ht="15" hidden="1" customHeight="1">
      <c r="C182" s="40"/>
      <c r="D182" s="40"/>
      <c r="E182" s="40"/>
      <c r="F182" s="8" t="s">
        <v>435</v>
      </c>
      <c r="G182" s="16" t="s">
        <v>436</v>
      </c>
      <c r="H182" s="40"/>
      <c r="I182" s="40"/>
      <c r="J182" s="40"/>
      <c r="K182" s="40"/>
      <c r="L182" s="40"/>
      <c r="M182" s="40"/>
    </row>
    <row r="183" spans="3:38" customFormat="1" ht="15" hidden="1" customHeight="1">
      <c r="C183" s="40"/>
      <c r="D183" s="40"/>
      <c r="E183" s="40"/>
      <c r="F183" s="8" t="s">
        <v>437</v>
      </c>
      <c r="G183" s="16" t="s">
        <v>438</v>
      </c>
      <c r="H183" s="40"/>
      <c r="I183" s="40"/>
      <c r="J183" s="40"/>
      <c r="K183" s="40"/>
      <c r="L183" s="40"/>
      <c r="M183" s="40"/>
    </row>
    <row r="184" spans="3:38" customFormat="1" ht="15" hidden="1" customHeight="1">
      <c r="C184" s="40"/>
      <c r="D184" s="40"/>
      <c r="E184" s="40"/>
      <c r="F184" s="8" t="s">
        <v>439</v>
      </c>
      <c r="G184" s="16" t="s">
        <v>440</v>
      </c>
      <c r="H184" s="40"/>
      <c r="I184" s="40"/>
      <c r="J184" s="40"/>
      <c r="K184" s="40"/>
      <c r="L184" s="40"/>
      <c r="M184" s="40"/>
    </row>
    <row r="185" spans="3:38" customFormat="1" ht="15" hidden="1" customHeight="1">
      <c r="C185" s="40"/>
      <c r="D185" s="40"/>
      <c r="E185" s="40"/>
      <c r="F185" s="8" t="s">
        <v>441</v>
      </c>
      <c r="G185" s="16" t="s">
        <v>442</v>
      </c>
      <c r="H185" s="40"/>
      <c r="I185" s="40"/>
      <c r="J185" s="40"/>
      <c r="K185" s="40"/>
      <c r="L185" s="40"/>
      <c r="M185" s="40"/>
    </row>
    <row r="186" spans="3:38" customFormat="1" ht="15" hidden="1" customHeight="1">
      <c r="C186" s="40"/>
      <c r="D186" s="40"/>
      <c r="E186" s="40"/>
      <c r="F186" s="8" t="s">
        <v>443</v>
      </c>
      <c r="G186" s="16" t="s">
        <v>444</v>
      </c>
      <c r="H186" s="40"/>
      <c r="I186" s="40"/>
      <c r="J186" s="40"/>
      <c r="K186" s="40"/>
      <c r="L186" s="40"/>
      <c r="M186" s="40"/>
    </row>
    <row r="187" spans="3:38" customFormat="1" ht="15" hidden="1" customHeight="1">
      <c r="C187" s="40"/>
      <c r="D187" s="40"/>
      <c r="E187" s="40"/>
      <c r="F187" s="8" t="s">
        <v>445</v>
      </c>
      <c r="G187" s="16" t="s">
        <v>446</v>
      </c>
      <c r="H187" s="40"/>
      <c r="I187" s="40"/>
      <c r="J187" s="40"/>
      <c r="K187" s="40"/>
      <c r="L187" s="40"/>
      <c r="M187" s="40"/>
    </row>
    <row r="188" spans="3:38" customFormat="1" ht="15" hidden="1" customHeight="1">
      <c r="C188" s="40"/>
      <c r="D188" s="40"/>
      <c r="E188" s="40"/>
      <c r="F188" s="8" t="s">
        <v>447</v>
      </c>
      <c r="G188" s="16" t="s">
        <v>448</v>
      </c>
      <c r="H188" s="40"/>
      <c r="I188" s="40"/>
      <c r="J188" s="40"/>
      <c r="K188" s="40"/>
      <c r="L188" s="40"/>
      <c r="M188" s="40"/>
    </row>
    <row r="189" spans="3:38" customFormat="1" ht="15" hidden="1" customHeight="1">
      <c r="C189" s="40"/>
      <c r="D189" s="40"/>
      <c r="E189" s="40"/>
      <c r="F189" s="8" t="s">
        <v>449</v>
      </c>
      <c r="G189" s="16" t="s">
        <v>450</v>
      </c>
      <c r="H189" s="40"/>
      <c r="I189" s="40"/>
      <c r="J189" s="40"/>
      <c r="K189" s="40"/>
      <c r="L189" s="40"/>
      <c r="M189" s="40"/>
    </row>
    <row r="190" spans="3:38" customFormat="1" ht="15" hidden="1" customHeight="1">
      <c r="C190" s="40"/>
      <c r="D190" s="40"/>
      <c r="E190" s="40"/>
      <c r="F190" s="8" t="s">
        <v>451</v>
      </c>
      <c r="G190" s="16" t="s">
        <v>452</v>
      </c>
      <c r="H190" s="40"/>
    </row>
    <row r="191" spans="3:38" customFormat="1" ht="15" hidden="1" customHeight="1">
      <c r="C191" s="40"/>
      <c r="D191" s="40"/>
      <c r="E191" s="40"/>
      <c r="F191" s="8" t="s">
        <v>453</v>
      </c>
      <c r="G191" s="16" t="s">
        <v>454</v>
      </c>
      <c r="H191" s="40"/>
    </row>
    <row r="192" spans="3:38" customFormat="1" ht="15" hidden="1" customHeight="1">
      <c r="C192" s="40"/>
      <c r="D192" s="40"/>
      <c r="E192" s="40"/>
      <c r="F192" s="8" t="s">
        <v>455</v>
      </c>
      <c r="G192" s="16" t="s">
        <v>456</v>
      </c>
      <c r="H192" s="40"/>
    </row>
    <row r="193" spans="3:13" customFormat="1" ht="15" hidden="1" customHeight="1">
      <c r="C193" s="40"/>
      <c r="D193" s="40"/>
      <c r="E193" s="40"/>
      <c r="F193" s="8" t="s">
        <v>457</v>
      </c>
      <c r="G193" s="16" t="s">
        <v>458</v>
      </c>
      <c r="H193" s="40"/>
    </row>
    <row r="194" spans="3:13" customFormat="1" ht="15" hidden="1" customHeight="1">
      <c r="C194" s="40"/>
      <c r="D194" s="40"/>
      <c r="E194" s="40"/>
      <c r="F194" s="8" t="s">
        <v>459</v>
      </c>
      <c r="G194" s="16" t="s">
        <v>460</v>
      </c>
      <c r="H194" s="40"/>
    </row>
    <row r="195" spans="3:13" customFormat="1" ht="15" hidden="1" customHeight="1">
      <c r="C195" s="40"/>
      <c r="D195" s="40"/>
      <c r="E195" s="40"/>
      <c r="F195" s="8" t="s">
        <v>461</v>
      </c>
      <c r="G195" s="16" t="s">
        <v>462</v>
      </c>
      <c r="H195" s="40"/>
    </row>
    <row r="196" spans="3:13" customFormat="1" ht="15" hidden="1" customHeight="1">
      <c r="C196" s="40"/>
      <c r="D196" s="40"/>
      <c r="E196" s="40"/>
      <c r="F196" s="8" t="s">
        <v>463</v>
      </c>
      <c r="G196" s="16" t="s">
        <v>464</v>
      </c>
      <c r="H196" s="40"/>
    </row>
    <row r="197" spans="3:13" customFormat="1" ht="15" hidden="1" customHeight="1">
      <c r="C197" s="40"/>
      <c r="D197" s="40"/>
      <c r="E197" s="40"/>
      <c r="F197" s="8" t="s">
        <v>465</v>
      </c>
      <c r="G197" s="16" t="s">
        <v>466</v>
      </c>
      <c r="H197" s="40"/>
      <c r="I197" s="40"/>
      <c r="J197" s="40"/>
      <c r="K197" s="40"/>
      <c r="L197" s="40"/>
      <c r="M197" s="40"/>
    </row>
    <row r="198" spans="3:13" customFormat="1" ht="15" hidden="1" customHeight="1">
      <c r="C198" s="40"/>
      <c r="D198" s="40"/>
      <c r="E198" s="40"/>
      <c r="F198" s="8" t="s">
        <v>467</v>
      </c>
      <c r="G198" s="16" t="s">
        <v>468</v>
      </c>
      <c r="H198" s="40"/>
      <c r="I198" s="40"/>
      <c r="J198" s="40"/>
      <c r="K198" s="40"/>
      <c r="L198" s="40"/>
      <c r="M198" s="40"/>
    </row>
    <row r="199" spans="3:13" customFormat="1" ht="15" hidden="1" customHeight="1">
      <c r="C199" s="40"/>
      <c r="D199" s="40"/>
      <c r="E199" s="40"/>
      <c r="F199" s="8" t="s">
        <v>469</v>
      </c>
      <c r="G199" s="16" t="s">
        <v>470</v>
      </c>
      <c r="H199" s="40"/>
      <c r="I199" s="40"/>
      <c r="J199" s="40"/>
      <c r="K199" s="40"/>
      <c r="L199" s="40"/>
      <c r="M199" s="40"/>
    </row>
    <row r="200" spans="3:13" customFormat="1" ht="15" hidden="1" customHeight="1">
      <c r="C200" s="40"/>
      <c r="D200" s="40"/>
      <c r="E200" s="40"/>
      <c r="F200" s="8" t="s">
        <v>471</v>
      </c>
      <c r="G200" s="16" t="s">
        <v>472</v>
      </c>
      <c r="H200" s="40"/>
      <c r="I200" s="40"/>
      <c r="J200" s="40"/>
      <c r="K200" s="40"/>
      <c r="L200" s="40"/>
      <c r="M200" s="40"/>
    </row>
    <row r="201" spans="3:13" customFormat="1" ht="15" hidden="1" customHeight="1">
      <c r="C201" s="40"/>
      <c r="D201" s="40"/>
      <c r="E201" s="40"/>
      <c r="F201" s="8" t="s">
        <v>473</v>
      </c>
      <c r="G201" s="16" t="s">
        <v>474</v>
      </c>
      <c r="H201" s="40"/>
      <c r="I201" s="40"/>
      <c r="J201" s="40"/>
      <c r="K201" s="40"/>
      <c r="L201" s="40"/>
      <c r="M201" s="40"/>
    </row>
    <row r="202" spans="3:13" customFormat="1" ht="15" hidden="1" customHeight="1">
      <c r="C202" s="40"/>
      <c r="D202" s="40"/>
      <c r="E202" s="40"/>
      <c r="F202" s="8" t="s">
        <v>475</v>
      </c>
      <c r="G202" s="16" t="s">
        <v>476</v>
      </c>
      <c r="H202" s="40"/>
      <c r="I202" s="40"/>
      <c r="J202" s="40"/>
      <c r="K202" s="40"/>
      <c r="L202" s="40"/>
      <c r="M202" s="40"/>
    </row>
    <row r="203" spans="3:13" customFormat="1" ht="15" hidden="1" customHeight="1">
      <c r="C203" s="40"/>
      <c r="D203" s="40"/>
      <c r="E203" s="40"/>
      <c r="F203" s="8" t="s">
        <v>477</v>
      </c>
      <c r="G203" s="16" t="s">
        <v>478</v>
      </c>
      <c r="H203" s="40"/>
      <c r="I203" s="40"/>
      <c r="J203" s="40"/>
      <c r="K203" s="40"/>
      <c r="L203" s="40"/>
      <c r="M203" s="40"/>
    </row>
    <row r="204" spans="3:13" customFormat="1" ht="15" hidden="1" customHeight="1">
      <c r="C204" s="40"/>
      <c r="D204" s="40"/>
      <c r="E204" s="40"/>
      <c r="F204" s="8" t="s">
        <v>479</v>
      </c>
      <c r="G204" s="16" t="s">
        <v>480</v>
      </c>
      <c r="H204" s="40"/>
      <c r="I204" s="40"/>
      <c r="J204" s="40"/>
      <c r="K204" s="40"/>
      <c r="L204" s="40"/>
      <c r="M204" s="40"/>
    </row>
    <row r="205" spans="3:13" customFormat="1" ht="15" hidden="1" customHeight="1">
      <c r="C205" s="40"/>
      <c r="D205" s="40"/>
      <c r="E205" s="40"/>
      <c r="F205" s="8" t="s">
        <v>481</v>
      </c>
      <c r="G205" s="16" t="s">
        <v>482</v>
      </c>
      <c r="H205" s="40"/>
      <c r="I205" s="40"/>
      <c r="J205" s="40"/>
      <c r="K205" s="40"/>
      <c r="L205" s="40"/>
      <c r="M205" s="40"/>
    </row>
    <row r="206" spans="3:13" customFormat="1" ht="15" hidden="1" customHeight="1">
      <c r="C206" s="40"/>
      <c r="D206" s="40"/>
      <c r="E206" s="40"/>
      <c r="F206" s="8" t="s">
        <v>483</v>
      </c>
      <c r="G206" s="16" t="s">
        <v>484</v>
      </c>
      <c r="H206" s="40"/>
      <c r="I206" s="40"/>
      <c r="J206" s="40"/>
      <c r="K206" s="40"/>
      <c r="L206" s="40"/>
      <c r="M206" s="40"/>
    </row>
    <row r="207" spans="3:13" customFormat="1" ht="15" hidden="1" customHeight="1">
      <c r="C207" s="40"/>
      <c r="D207" s="40"/>
      <c r="E207" s="40"/>
      <c r="F207" s="8" t="s">
        <v>485</v>
      </c>
      <c r="G207" s="16" t="s">
        <v>486</v>
      </c>
      <c r="H207" s="40"/>
      <c r="I207" s="40"/>
      <c r="J207" s="40"/>
      <c r="K207" s="40"/>
      <c r="L207" s="40"/>
      <c r="M207" s="40"/>
    </row>
    <row r="208" spans="3:13" customFormat="1" ht="15" hidden="1" customHeight="1">
      <c r="C208" s="40"/>
      <c r="D208" s="40"/>
      <c r="E208" s="40"/>
      <c r="F208" s="8" t="s">
        <v>487</v>
      </c>
      <c r="G208" s="16" t="s">
        <v>488</v>
      </c>
      <c r="H208" s="40"/>
      <c r="I208" s="40"/>
      <c r="J208" s="40"/>
      <c r="K208" s="40"/>
      <c r="L208" s="40"/>
      <c r="M208" s="40"/>
    </row>
    <row r="209" spans="3:13" customFormat="1" ht="15" hidden="1" customHeight="1">
      <c r="C209" s="40"/>
      <c r="D209" s="40"/>
      <c r="E209" s="40"/>
      <c r="F209" s="8" t="s">
        <v>489</v>
      </c>
      <c r="G209" s="16" t="s">
        <v>490</v>
      </c>
      <c r="H209" s="40"/>
      <c r="I209" s="40"/>
      <c r="J209" s="40"/>
      <c r="K209" s="40"/>
      <c r="L209" s="40"/>
      <c r="M209" s="40"/>
    </row>
    <row r="210" spans="3:13" customFormat="1" ht="15" hidden="1" customHeight="1">
      <c r="C210" s="40"/>
      <c r="D210" s="40"/>
      <c r="E210" s="40"/>
      <c r="F210" s="8" t="s">
        <v>491</v>
      </c>
      <c r="G210" s="16" t="s">
        <v>492</v>
      </c>
      <c r="H210" s="40"/>
      <c r="I210" s="40"/>
      <c r="J210" s="40"/>
      <c r="K210" s="40"/>
      <c r="L210" s="40"/>
      <c r="M210" s="40"/>
    </row>
    <row r="211" spans="3:13" customFormat="1" ht="15" hidden="1" customHeight="1">
      <c r="C211" s="40"/>
      <c r="D211" s="40"/>
      <c r="E211" s="40"/>
      <c r="F211" s="8" t="s">
        <v>493</v>
      </c>
      <c r="G211" s="16" t="s">
        <v>494</v>
      </c>
      <c r="H211" s="40"/>
      <c r="I211" s="40"/>
      <c r="J211" s="40"/>
      <c r="K211" s="40"/>
      <c r="L211" s="40"/>
      <c r="M211" s="40"/>
    </row>
    <row r="212" spans="3:13" customFormat="1" ht="15" hidden="1" customHeight="1">
      <c r="C212" s="40"/>
      <c r="D212" s="40"/>
      <c r="E212" s="40"/>
      <c r="F212" s="8" t="s">
        <v>495</v>
      </c>
      <c r="G212" s="16" t="s">
        <v>496</v>
      </c>
      <c r="H212" s="40"/>
      <c r="I212" s="40"/>
      <c r="J212" s="40"/>
      <c r="K212" s="40"/>
      <c r="L212" s="40"/>
      <c r="M212" s="40"/>
    </row>
    <row r="213" spans="3:13" customFormat="1" ht="15" hidden="1" customHeight="1">
      <c r="C213" s="40"/>
      <c r="D213" s="40"/>
      <c r="E213" s="40"/>
      <c r="F213" s="8" t="s">
        <v>497</v>
      </c>
      <c r="G213" s="16" t="s">
        <v>498</v>
      </c>
      <c r="H213" s="40"/>
      <c r="I213" s="40"/>
      <c r="J213" s="40"/>
      <c r="K213" s="40"/>
      <c r="L213" s="40"/>
      <c r="M213" s="40"/>
    </row>
    <row r="214" spans="3:13" customFormat="1" ht="15" hidden="1" customHeight="1">
      <c r="C214" s="40"/>
      <c r="D214" s="40"/>
      <c r="E214" s="40"/>
      <c r="F214" s="8" t="s">
        <v>499</v>
      </c>
      <c r="G214" s="16" t="s">
        <v>500</v>
      </c>
      <c r="H214" s="40"/>
      <c r="I214" s="40"/>
      <c r="J214" s="40"/>
      <c r="K214" s="40"/>
      <c r="L214" s="40"/>
      <c r="M214" s="40"/>
    </row>
    <row r="215" spans="3:13" customFormat="1" ht="15" hidden="1" customHeight="1">
      <c r="C215" s="40"/>
      <c r="D215" s="40"/>
      <c r="E215" s="40"/>
      <c r="F215" s="8" t="s">
        <v>501</v>
      </c>
      <c r="G215" s="16" t="s">
        <v>502</v>
      </c>
      <c r="H215" s="40"/>
      <c r="I215" s="40"/>
      <c r="J215" s="40"/>
      <c r="K215" s="40"/>
      <c r="L215" s="40"/>
      <c r="M215" s="40"/>
    </row>
    <row r="216" spans="3:13" customFormat="1" ht="15" hidden="1" customHeight="1">
      <c r="C216" s="40"/>
      <c r="D216" s="40"/>
      <c r="E216" s="40"/>
      <c r="F216" s="8" t="s">
        <v>503</v>
      </c>
      <c r="G216" s="16" t="s">
        <v>504</v>
      </c>
      <c r="H216" s="40"/>
      <c r="I216" s="40"/>
      <c r="J216" s="40"/>
      <c r="K216" s="40"/>
      <c r="L216" s="40"/>
      <c r="M216" s="40"/>
    </row>
    <row r="217" spans="3:13" customFormat="1" ht="15" hidden="1" customHeight="1">
      <c r="C217" s="40"/>
      <c r="D217" s="40"/>
      <c r="E217" s="40"/>
      <c r="F217" s="8" t="s">
        <v>505</v>
      </c>
      <c r="G217" s="16" t="s">
        <v>506</v>
      </c>
      <c r="H217" s="40"/>
      <c r="I217" s="40"/>
      <c r="J217" s="40"/>
      <c r="K217" s="40"/>
      <c r="L217" s="40"/>
      <c r="M217" s="40"/>
    </row>
    <row r="218" spans="3:13" customFormat="1" ht="15" hidden="1" customHeight="1">
      <c r="C218" s="40"/>
      <c r="D218" s="40"/>
      <c r="E218" s="40"/>
      <c r="F218" s="8" t="s">
        <v>507</v>
      </c>
      <c r="G218" s="16" t="s">
        <v>508</v>
      </c>
      <c r="H218" s="40"/>
      <c r="I218" s="40"/>
      <c r="J218" s="40"/>
      <c r="K218" s="40"/>
      <c r="L218" s="40"/>
      <c r="M218" s="40"/>
    </row>
    <row r="219" spans="3:13" customFormat="1" ht="15" hidden="1" customHeight="1">
      <c r="C219" s="40"/>
      <c r="D219" s="40"/>
      <c r="E219" s="40"/>
      <c r="F219" s="8" t="s">
        <v>509</v>
      </c>
      <c r="G219" s="16" t="s">
        <v>510</v>
      </c>
      <c r="H219" s="40"/>
      <c r="I219" s="40"/>
      <c r="J219" s="40"/>
      <c r="K219" s="40"/>
      <c r="L219" s="40"/>
      <c r="M219" s="40"/>
    </row>
    <row r="220" spans="3:13" customFormat="1" ht="15" hidden="1" customHeight="1">
      <c r="C220" s="40"/>
      <c r="D220" s="40"/>
      <c r="E220" s="40"/>
      <c r="F220" s="8" t="s">
        <v>511</v>
      </c>
      <c r="G220" s="16" t="s">
        <v>512</v>
      </c>
      <c r="H220" s="40"/>
      <c r="I220" s="40"/>
      <c r="J220" s="40"/>
      <c r="K220" s="40"/>
      <c r="L220" s="40"/>
      <c r="M220" s="40"/>
    </row>
    <row r="221" spans="3:13" customFormat="1" ht="15" hidden="1" customHeight="1">
      <c r="C221" s="40"/>
      <c r="D221" s="40"/>
      <c r="E221" s="40"/>
      <c r="F221" s="8" t="s">
        <v>513</v>
      </c>
      <c r="G221" s="16" t="s">
        <v>514</v>
      </c>
      <c r="H221" s="40"/>
      <c r="I221" s="40"/>
      <c r="J221" s="40"/>
      <c r="K221" s="40"/>
      <c r="L221" s="40"/>
      <c r="M221" s="40"/>
    </row>
    <row r="222" spans="3:13" customFormat="1" ht="15" hidden="1" customHeight="1">
      <c r="C222" s="40"/>
      <c r="D222" s="40"/>
      <c r="E222" s="40"/>
      <c r="F222" s="8" t="s">
        <v>515</v>
      </c>
      <c r="G222" s="16" t="s">
        <v>516</v>
      </c>
      <c r="H222" s="40"/>
      <c r="I222" s="40"/>
      <c r="J222" s="40"/>
      <c r="K222" s="40"/>
      <c r="L222" s="40"/>
      <c r="M222" s="40"/>
    </row>
    <row r="223" spans="3:13" customFormat="1" ht="15" hidden="1" customHeight="1">
      <c r="C223" s="40"/>
      <c r="D223" s="40"/>
      <c r="E223" s="40"/>
      <c r="F223" s="8" t="s">
        <v>517</v>
      </c>
      <c r="G223" s="16" t="s">
        <v>518</v>
      </c>
      <c r="H223" s="40"/>
      <c r="I223" s="40"/>
      <c r="J223" s="40"/>
      <c r="K223" s="40"/>
      <c r="L223" s="40"/>
      <c r="M223" s="40"/>
    </row>
    <row r="224" spans="3:13" customFormat="1" ht="15" hidden="1" customHeight="1">
      <c r="C224" s="40"/>
      <c r="D224" s="40"/>
      <c r="E224" s="40"/>
      <c r="F224" s="8" t="s">
        <v>519</v>
      </c>
      <c r="G224" s="16" t="s">
        <v>520</v>
      </c>
      <c r="H224" s="40"/>
      <c r="I224" s="40"/>
      <c r="J224" s="40"/>
      <c r="K224" s="40"/>
      <c r="L224" s="40"/>
      <c r="M224" s="40"/>
    </row>
    <row r="225" spans="3:13" customFormat="1" ht="15" hidden="1" customHeight="1">
      <c r="C225" s="40"/>
      <c r="D225" s="40"/>
      <c r="E225" s="40"/>
      <c r="F225" s="8" t="s">
        <v>521</v>
      </c>
      <c r="G225" s="16" t="s">
        <v>522</v>
      </c>
      <c r="H225" s="40"/>
      <c r="I225" s="40"/>
      <c r="J225" s="40"/>
      <c r="K225" s="40"/>
      <c r="L225" s="40"/>
      <c r="M225" s="40"/>
    </row>
    <row r="226" spans="3:13" customFormat="1" ht="15" hidden="1" customHeight="1">
      <c r="C226" s="40"/>
      <c r="D226" s="40"/>
      <c r="E226" s="40"/>
      <c r="F226" s="8" t="s">
        <v>523</v>
      </c>
      <c r="G226" s="16" t="s">
        <v>524</v>
      </c>
      <c r="H226" s="40"/>
      <c r="I226" s="40"/>
      <c r="J226" s="40"/>
    </row>
    <row r="227" spans="3:13" customFormat="1" ht="15" hidden="1" customHeight="1">
      <c r="C227" s="40"/>
      <c r="D227" s="40"/>
      <c r="E227" s="40"/>
      <c r="F227" s="8" t="s">
        <v>525</v>
      </c>
      <c r="G227" s="16" t="s">
        <v>526</v>
      </c>
      <c r="H227" s="40"/>
      <c r="I227" s="40"/>
      <c r="J227" s="40"/>
    </row>
    <row r="228" spans="3:13" customFormat="1" ht="15" hidden="1" customHeight="1">
      <c r="C228" s="40"/>
      <c r="D228" s="40"/>
      <c r="E228" s="40"/>
      <c r="F228" s="8" t="s">
        <v>527</v>
      </c>
      <c r="G228" s="16" t="s">
        <v>528</v>
      </c>
      <c r="H228" s="40"/>
      <c r="I228" s="40"/>
      <c r="J228" s="40"/>
    </row>
    <row r="229" spans="3:13" customFormat="1" ht="15" hidden="1" customHeight="1">
      <c r="C229" s="40"/>
      <c r="D229" s="40"/>
      <c r="E229" s="40"/>
      <c r="F229" s="8" t="s">
        <v>529</v>
      </c>
      <c r="G229" s="16" t="s">
        <v>530</v>
      </c>
      <c r="H229" s="40"/>
      <c r="I229" s="40"/>
      <c r="J229" s="40"/>
    </row>
    <row r="230" spans="3:13" customFormat="1" ht="15" hidden="1" customHeight="1">
      <c r="C230" s="40"/>
      <c r="D230" s="40"/>
      <c r="E230" s="40"/>
      <c r="F230" s="8" t="s">
        <v>531</v>
      </c>
      <c r="G230" s="16" t="s">
        <v>532</v>
      </c>
      <c r="H230" s="40"/>
      <c r="I230" s="40"/>
      <c r="J230" s="40"/>
    </row>
    <row r="231" spans="3:13" customFormat="1" ht="15" hidden="1" customHeight="1">
      <c r="C231" s="40"/>
      <c r="D231" s="40"/>
      <c r="E231" s="40"/>
      <c r="F231" s="8" t="s">
        <v>533</v>
      </c>
      <c r="G231" s="16" t="s">
        <v>534</v>
      </c>
      <c r="H231" s="40"/>
      <c r="I231" s="40"/>
      <c r="J231" s="40"/>
    </row>
    <row r="232" spans="3:13" customFormat="1" ht="15" hidden="1" customHeight="1">
      <c r="C232" s="40"/>
      <c r="D232" s="40"/>
      <c r="E232" s="40"/>
      <c r="F232" s="8" t="s">
        <v>535</v>
      </c>
      <c r="G232" s="16" t="s">
        <v>536</v>
      </c>
      <c r="H232" s="40"/>
      <c r="I232" s="40"/>
      <c r="J232" s="40"/>
    </row>
    <row r="233" spans="3:13" customFormat="1" ht="15" hidden="1" customHeight="1">
      <c r="C233" s="40"/>
      <c r="D233" s="40"/>
      <c r="E233" s="40"/>
      <c r="F233" s="8" t="s">
        <v>537</v>
      </c>
      <c r="G233" s="16" t="s">
        <v>538</v>
      </c>
      <c r="H233" s="40"/>
      <c r="I233" s="40"/>
      <c r="J233" s="40"/>
    </row>
    <row r="234" spans="3:13" customFormat="1" ht="15" hidden="1" customHeight="1">
      <c r="C234" s="40"/>
      <c r="D234" s="40"/>
      <c r="E234" s="40"/>
      <c r="F234" s="8" t="s">
        <v>539</v>
      </c>
      <c r="G234" s="16" t="s">
        <v>540</v>
      </c>
      <c r="H234" s="40"/>
      <c r="I234" s="40"/>
      <c r="J234" s="40"/>
    </row>
    <row r="235" spans="3:13" customFormat="1" ht="15" hidden="1" customHeight="1">
      <c r="C235" s="40"/>
      <c r="D235" s="40"/>
      <c r="E235" s="40"/>
      <c r="F235" s="8" t="s">
        <v>541</v>
      </c>
      <c r="G235" s="16" t="s">
        <v>542</v>
      </c>
      <c r="H235" s="40"/>
      <c r="I235" s="40"/>
      <c r="J235" s="40"/>
    </row>
    <row r="236" spans="3:13" customFormat="1" ht="15" hidden="1" customHeight="1">
      <c r="C236" s="40"/>
      <c r="D236" s="40"/>
      <c r="E236" s="40"/>
      <c r="F236" s="8" t="s">
        <v>543</v>
      </c>
      <c r="G236" s="16" t="s">
        <v>544</v>
      </c>
      <c r="H236" s="40"/>
      <c r="I236" s="40"/>
      <c r="J236" s="40"/>
    </row>
    <row r="237" spans="3:13" customFormat="1" ht="15" hidden="1" customHeight="1">
      <c r="C237" s="40"/>
      <c r="D237" s="40"/>
      <c r="E237" s="40"/>
      <c r="F237" s="8" t="s">
        <v>545</v>
      </c>
      <c r="G237" s="16" t="s">
        <v>546</v>
      </c>
      <c r="H237" s="40"/>
      <c r="I237" s="40"/>
      <c r="J237" s="40"/>
    </row>
    <row r="238" spans="3:13" customFormat="1" ht="15" hidden="1" customHeight="1">
      <c r="C238" s="40"/>
      <c r="D238" s="40"/>
      <c r="E238" s="40"/>
      <c r="F238" s="8" t="s">
        <v>547</v>
      </c>
      <c r="G238" s="16" t="s">
        <v>548</v>
      </c>
      <c r="H238" s="40"/>
      <c r="I238" s="40"/>
      <c r="J238" s="40"/>
    </row>
    <row r="239" spans="3:13" customFormat="1" ht="15" hidden="1" customHeight="1">
      <c r="C239" s="40"/>
      <c r="D239" s="40"/>
      <c r="E239" s="40"/>
      <c r="F239" s="8" t="s">
        <v>549</v>
      </c>
      <c r="G239" s="16" t="s">
        <v>550</v>
      </c>
      <c r="H239" s="40"/>
      <c r="I239" s="40"/>
      <c r="J239" s="40"/>
    </row>
    <row r="240" spans="3:13" customFormat="1" ht="15" hidden="1" customHeight="1">
      <c r="C240" s="40"/>
      <c r="D240" s="40"/>
      <c r="E240" s="40"/>
      <c r="F240" s="8" t="s">
        <v>551</v>
      </c>
      <c r="G240" s="16" t="s">
        <v>552</v>
      </c>
      <c r="H240" s="40"/>
      <c r="I240" s="40"/>
      <c r="J240" s="40"/>
    </row>
    <row r="241" spans="3:10" customFormat="1" ht="15" hidden="1" customHeight="1">
      <c r="C241" s="40"/>
      <c r="D241" s="40"/>
      <c r="E241" s="40"/>
      <c r="F241" s="8" t="s">
        <v>553</v>
      </c>
      <c r="G241" s="16" t="s">
        <v>554</v>
      </c>
      <c r="H241" s="40"/>
      <c r="I241" s="40"/>
      <c r="J241" s="40"/>
    </row>
    <row r="242" spans="3:10" customFormat="1" ht="15" hidden="1" customHeight="1">
      <c r="C242" s="40"/>
      <c r="D242" s="40"/>
      <c r="E242" s="40"/>
      <c r="F242" s="8" t="s">
        <v>555</v>
      </c>
      <c r="G242" s="16" t="s">
        <v>556</v>
      </c>
      <c r="H242" s="40"/>
      <c r="I242" s="40"/>
      <c r="J242" s="40"/>
    </row>
    <row r="243" spans="3:10" customFormat="1" ht="15" hidden="1" customHeight="1">
      <c r="C243" s="40"/>
      <c r="D243" s="40"/>
      <c r="E243" s="40"/>
      <c r="F243" s="8" t="s">
        <v>557</v>
      </c>
      <c r="G243" s="16" t="s">
        <v>558</v>
      </c>
      <c r="H243" s="40"/>
      <c r="I243" s="40"/>
      <c r="J243" s="40"/>
    </row>
    <row r="244" spans="3:10" customFormat="1" ht="15" hidden="1" customHeight="1">
      <c r="C244" s="40"/>
      <c r="D244" s="40"/>
      <c r="E244" s="40"/>
      <c r="F244" s="8" t="s">
        <v>559</v>
      </c>
      <c r="G244" s="16" t="s">
        <v>560</v>
      </c>
      <c r="H244" s="40"/>
      <c r="I244" s="40"/>
      <c r="J244" s="40"/>
    </row>
    <row r="245" spans="3:10" customFormat="1" ht="15" hidden="1" customHeight="1">
      <c r="C245" s="40"/>
      <c r="D245" s="40"/>
      <c r="E245" s="40"/>
      <c r="F245" s="8" t="s">
        <v>561</v>
      </c>
      <c r="G245" s="16" t="s">
        <v>562</v>
      </c>
      <c r="H245" s="40"/>
      <c r="I245" s="40"/>
      <c r="J245" s="40"/>
    </row>
    <row r="246" spans="3:10" customFormat="1" ht="15" hidden="1" customHeight="1">
      <c r="C246" s="40"/>
      <c r="D246" s="40"/>
      <c r="E246" s="40"/>
      <c r="F246" s="8" t="s">
        <v>563</v>
      </c>
      <c r="G246" s="16" t="s">
        <v>564</v>
      </c>
      <c r="H246" s="40"/>
      <c r="I246" s="40"/>
      <c r="J246" s="40"/>
    </row>
    <row r="247" spans="3:10" customFormat="1" ht="15" hidden="1" customHeight="1">
      <c r="C247" s="40"/>
      <c r="D247" s="40"/>
      <c r="E247" s="40"/>
      <c r="F247" s="8" t="s">
        <v>565</v>
      </c>
      <c r="G247" s="16" t="s">
        <v>566</v>
      </c>
      <c r="H247" s="40"/>
      <c r="I247" s="40"/>
      <c r="J247" s="40"/>
    </row>
    <row r="248" spans="3:10" customFormat="1" ht="15" hidden="1" customHeight="1">
      <c r="C248" s="40"/>
      <c r="D248" s="40"/>
      <c r="E248" s="40"/>
      <c r="F248" s="8" t="s">
        <v>567</v>
      </c>
      <c r="G248" s="16" t="s">
        <v>568</v>
      </c>
      <c r="H248" s="40"/>
      <c r="I248" s="40"/>
      <c r="J248" s="40"/>
    </row>
    <row r="249" spans="3:10" customFormat="1" ht="15" hidden="1" customHeight="1">
      <c r="C249" s="40"/>
      <c r="D249" s="40"/>
      <c r="E249" s="40"/>
      <c r="F249" s="8" t="s">
        <v>569</v>
      </c>
      <c r="G249" s="16" t="s">
        <v>570</v>
      </c>
      <c r="H249" s="40"/>
      <c r="I249" s="40"/>
      <c r="J249" s="40"/>
    </row>
    <row r="250" spans="3:10" customFormat="1" ht="15" hidden="1" customHeight="1">
      <c r="C250" s="40"/>
      <c r="D250" s="40"/>
      <c r="E250" s="40"/>
      <c r="F250" s="8" t="s">
        <v>571</v>
      </c>
      <c r="G250" s="16" t="s">
        <v>572</v>
      </c>
      <c r="H250" s="40"/>
      <c r="I250" s="40"/>
      <c r="J250" s="40"/>
    </row>
    <row r="251" spans="3:10" customFormat="1" ht="15" hidden="1" customHeight="1">
      <c r="C251" s="40"/>
      <c r="D251" s="40"/>
      <c r="E251" s="40"/>
      <c r="F251" s="8" t="s">
        <v>573</v>
      </c>
      <c r="G251" s="16" t="s">
        <v>574</v>
      </c>
      <c r="H251" s="40"/>
      <c r="I251" s="40"/>
      <c r="J251" s="40"/>
    </row>
    <row r="252" spans="3:10" customFormat="1" ht="15" hidden="1" customHeight="1">
      <c r="C252" s="40"/>
      <c r="D252" s="40"/>
      <c r="E252" s="40"/>
      <c r="F252" s="8" t="s">
        <v>575</v>
      </c>
      <c r="G252" s="16" t="s">
        <v>576</v>
      </c>
      <c r="H252" s="40"/>
      <c r="I252" s="40"/>
      <c r="J252" s="40"/>
    </row>
    <row r="253" spans="3:10" customFormat="1" ht="15" hidden="1" customHeight="1">
      <c r="C253" s="40"/>
      <c r="D253" s="40"/>
      <c r="E253" s="40"/>
      <c r="F253" s="8" t="s">
        <v>577</v>
      </c>
      <c r="G253" s="16" t="s">
        <v>578</v>
      </c>
      <c r="H253" s="40"/>
      <c r="I253" s="40"/>
      <c r="J253" s="40"/>
    </row>
    <row r="254" spans="3:10" customFormat="1" ht="15" hidden="1" customHeight="1">
      <c r="C254" s="40"/>
      <c r="D254" s="40"/>
      <c r="E254" s="40"/>
      <c r="F254" s="8" t="s">
        <v>579</v>
      </c>
      <c r="G254" s="16" t="s">
        <v>580</v>
      </c>
      <c r="H254" s="40"/>
      <c r="I254" s="40"/>
      <c r="J254" s="40"/>
    </row>
    <row r="255" spans="3:10" customFormat="1" ht="15" hidden="1" customHeight="1">
      <c r="C255" s="40"/>
      <c r="D255" s="40"/>
      <c r="E255" s="40"/>
      <c r="F255" s="8" t="s">
        <v>581</v>
      </c>
      <c r="G255" s="16" t="s">
        <v>582</v>
      </c>
      <c r="H255" s="40"/>
      <c r="I255" s="40"/>
      <c r="J255" s="40"/>
    </row>
    <row r="256" spans="3:10" customFormat="1" ht="15" hidden="1" customHeight="1">
      <c r="C256" s="40"/>
      <c r="D256" s="40"/>
      <c r="E256" s="40"/>
      <c r="F256" s="8" t="s">
        <v>583</v>
      </c>
      <c r="G256" s="16" t="s">
        <v>584</v>
      </c>
      <c r="H256" s="40"/>
      <c r="I256" s="40"/>
      <c r="J256" s="40"/>
    </row>
    <row r="257" spans="3:11" customFormat="1" ht="15" hidden="1" customHeight="1">
      <c r="C257" s="40"/>
      <c r="D257" s="40"/>
      <c r="E257" s="40"/>
      <c r="F257" s="8" t="s">
        <v>585</v>
      </c>
      <c r="G257" s="16" t="s">
        <v>586</v>
      </c>
      <c r="H257" s="40"/>
      <c r="I257" s="40"/>
      <c r="J257" s="40"/>
    </row>
    <row r="258" spans="3:11" customFormat="1" ht="15" hidden="1" customHeight="1">
      <c r="C258" s="40"/>
      <c r="D258" s="40"/>
      <c r="E258" s="40"/>
      <c r="F258" s="8" t="s">
        <v>587</v>
      </c>
      <c r="G258" s="16" t="s">
        <v>588</v>
      </c>
      <c r="H258" s="40"/>
      <c r="I258" s="40"/>
      <c r="J258" s="40"/>
    </row>
    <row r="259" spans="3:11" customFormat="1" ht="15" hidden="1" customHeight="1">
      <c r="C259" s="40"/>
      <c r="D259" s="40"/>
      <c r="E259" s="40"/>
      <c r="F259" s="8" t="s">
        <v>589</v>
      </c>
      <c r="G259" s="16" t="s">
        <v>590</v>
      </c>
      <c r="H259" s="40"/>
      <c r="I259" s="40"/>
      <c r="J259" s="40"/>
    </row>
    <row r="260" spans="3:11" customFormat="1" ht="15" hidden="1" customHeight="1">
      <c r="C260" s="40"/>
      <c r="D260" s="40"/>
      <c r="E260" s="40"/>
      <c r="F260" s="8" t="s">
        <v>591</v>
      </c>
      <c r="G260" s="16" t="s">
        <v>592</v>
      </c>
      <c r="H260" s="40"/>
      <c r="I260" s="40"/>
      <c r="J260" s="40"/>
    </row>
    <row r="261" spans="3:11" customFormat="1" ht="15" hidden="1" customHeight="1">
      <c r="C261" s="40"/>
      <c r="D261" s="40"/>
      <c r="E261" s="40"/>
      <c r="F261" s="8" t="s">
        <v>593</v>
      </c>
      <c r="G261" s="16" t="s">
        <v>594</v>
      </c>
      <c r="H261" s="40"/>
      <c r="I261" s="40"/>
      <c r="J261" s="40"/>
    </row>
    <row r="262" spans="3:11" customFormat="1" ht="15" hidden="1" customHeight="1">
      <c r="C262" s="40"/>
      <c r="D262" s="40"/>
      <c r="E262" s="40"/>
      <c r="F262" s="8" t="s">
        <v>595</v>
      </c>
      <c r="G262" s="16" t="s">
        <v>596</v>
      </c>
      <c r="H262" s="40"/>
      <c r="I262" s="40"/>
      <c r="J262" s="40"/>
    </row>
    <row r="263" spans="3:11" customFormat="1" ht="15" hidden="1" customHeight="1">
      <c r="C263" s="40"/>
      <c r="D263" s="40"/>
      <c r="E263" s="40"/>
      <c r="F263" s="8" t="s">
        <v>597</v>
      </c>
      <c r="G263" s="16" t="s">
        <v>598</v>
      </c>
      <c r="H263" s="40"/>
    </row>
    <row r="264" spans="3:11" customFormat="1" ht="15" hidden="1" customHeight="1">
      <c r="C264" s="40"/>
      <c r="D264" s="40"/>
      <c r="E264" s="40"/>
      <c r="F264" s="8" t="s">
        <v>599</v>
      </c>
      <c r="G264" s="16" t="s">
        <v>600</v>
      </c>
      <c r="H264" s="40"/>
    </row>
    <row r="265" spans="3:11" customFormat="1" ht="15" hidden="1" customHeight="1">
      <c r="C265" s="40"/>
      <c r="D265" s="40"/>
      <c r="E265" s="40"/>
      <c r="F265" s="8" t="s">
        <v>601</v>
      </c>
      <c r="G265" s="16" t="s">
        <v>602</v>
      </c>
      <c r="H265" s="40"/>
    </row>
    <row r="266" spans="3:11" customFormat="1" ht="15" hidden="1" customHeight="1">
      <c r="C266" s="40"/>
      <c r="D266" s="40"/>
      <c r="E266" s="40"/>
      <c r="F266" s="8" t="s">
        <v>603</v>
      </c>
      <c r="G266" s="16" t="s">
        <v>604</v>
      </c>
      <c r="H266" s="40"/>
    </row>
    <row r="267" spans="3:11" customFormat="1" ht="15" hidden="1" customHeight="1">
      <c r="C267" s="40"/>
      <c r="D267" s="40"/>
      <c r="E267" s="40"/>
      <c r="F267" s="8" t="s">
        <v>605</v>
      </c>
      <c r="G267" s="16" t="s">
        <v>606</v>
      </c>
      <c r="H267" s="40"/>
    </row>
    <row r="268" spans="3:11" customFormat="1" ht="15" hidden="1" customHeight="1">
      <c r="C268" s="40"/>
      <c r="D268" s="40"/>
      <c r="E268" s="40"/>
      <c r="F268" s="8" t="s">
        <v>607</v>
      </c>
      <c r="G268" s="16" t="s">
        <v>608</v>
      </c>
      <c r="H268" s="40"/>
    </row>
    <row r="269" spans="3:11" customFormat="1" ht="15" hidden="1" customHeight="1">
      <c r="C269" s="40"/>
      <c r="D269" s="40"/>
      <c r="E269" s="40"/>
      <c r="F269" s="8" t="s">
        <v>609</v>
      </c>
      <c r="G269" s="16" t="s">
        <v>610</v>
      </c>
      <c r="H269" s="40"/>
    </row>
    <row r="270" spans="3:11" customFormat="1" ht="15" hidden="1" customHeight="1">
      <c r="C270" s="40"/>
      <c r="D270" s="40"/>
      <c r="E270" s="40"/>
      <c r="F270" s="8" t="s">
        <v>611</v>
      </c>
      <c r="G270" s="16" t="s">
        <v>612</v>
      </c>
      <c r="H270" s="40"/>
    </row>
    <row r="271" spans="3:11" customFormat="1" ht="15" hidden="1" customHeight="1">
      <c r="C271" s="40"/>
      <c r="D271" s="40"/>
      <c r="E271" s="40"/>
      <c r="F271" s="8" t="s">
        <v>613</v>
      </c>
      <c r="G271" s="16" t="s">
        <v>614</v>
      </c>
      <c r="H271" s="40"/>
      <c r="I271" s="40"/>
      <c r="J271" s="40"/>
      <c r="K271" s="40"/>
    </row>
    <row r="272" spans="3:11" customFormat="1" ht="15" hidden="1" customHeight="1">
      <c r="C272" s="40"/>
      <c r="D272" s="40"/>
      <c r="E272" s="40"/>
      <c r="F272" s="8" t="s">
        <v>615</v>
      </c>
      <c r="G272" s="16" t="s">
        <v>616</v>
      </c>
      <c r="H272" s="40"/>
      <c r="I272" s="40"/>
      <c r="J272" s="40"/>
      <c r="K272" s="40"/>
    </row>
    <row r="273" spans="3:11" customFormat="1" ht="15" hidden="1" customHeight="1">
      <c r="C273" s="40"/>
      <c r="D273" s="40"/>
      <c r="E273" s="40"/>
      <c r="F273" s="8" t="s">
        <v>617</v>
      </c>
      <c r="G273" s="16" t="s">
        <v>618</v>
      </c>
      <c r="H273" s="40"/>
      <c r="I273" s="40"/>
      <c r="J273" s="40"/>
      <c r="K273" s="40"/>
    </row>
    <row r="274" spans="3:11" customFormat="1" ht="15" hidden="1" customHeight="1">
      <c r="C274" s="40"/>
      <c r="D274" s="40"/>
      <c r="E274" s="40"/>
      <c r="F274" s="8" t="s">
        <v>619</v>
      </c>
      <c r="G274" s="16" t="s">
        <v>620</v>
      </c>
      <c r="H274" s="40"/>
      <c r="I274" s="40"/>
      <c r="J274" s="40"/>
      <c r="K274" s="40"/>
    </row>
    <row r="275" spans="3:11" customFormat="1" ht="15" hidden="1" customHeight="1">
      <c r="C275" s="40"/>
      <c r="D275" s="40"/>
      <c r="E275" s="40"/>
      <c r="F275" s="8" t="s">
        <v>621</v>
      </c>
      <c r="G275" s="16" t="s">
        <v>622</v>
      </c>
      <c r="H275" s="40"/>
      <c r="I275" s="40"/>
      <c r="J275" s="40"/>
      <c r="K275" s="40"/>
    </row>
    <row r="276" spans="3:11" customFormat="1" ht="15" hidden="1" customHeight="1">
      <c r="C276" s="40"/>
      <c r="D276" s="40"/>
      <c r="E276" s="40"/>
      <c r="F276" s="8" t="s">
        <v>623</v>
      </c>
      <c r="G276" s="16" t="s">
        <v>624</v>
      </c>
      <c r="H276" s="40"/>
      <c r="I276" s="40"/>
      <c r="J276" s="40"/>
      <c r="K276" s="40"/>
    </row>
    <row r="277" spans="3:11" customFormat="1" ht="15" hidden="1" customHeight="1">
      <c r="C277" s="40"/>
      <c r="D277" s="40"/>
      <c r="E277" s="40"/>
      <c r="F277" s="8" t="s">
        <v>625</v>
      </c>
      <c r="G277" s="16" t="s">
        <v>626</v>
      </c>
      <c r="H277" s="40"/>
      <c r="I277" s="40"/>
      <c r="J277" s="40"/>
      <c r="K277" s="40"/>
    </row>
    <row r="278" spans="3:11" customFormat="1" ht="15" hidden="1" customHeight="1">
      <c r="C278" s="40"/>
      <c r="D278" s="40"/>
      <c r="E278" s="40"/>
      <c r="F278" s="8" t="s">
        <v>627</v>
      </c>
      <c r="G278" s="16" t="s">
        <v>628</v>
      </c>
      <c r="H278" s="40"/>
      <c r="I278" s="40"/>
      <c r="J278" s="40"/>
      <c r="K278" s="40"/>
    </row>
    <row r="279" spans="3:11" customFormat="1" ht="15" hidden="1" customHeight="1">
      <c r="C279" s="40"/>
      <c r="D279" s="40"/>
      <c r="E279" s="40"/>
      <c r="F279" s="8" t="s">
        <v>629</v>
      </c>
      <c r="G279" s="16" t="s">
        <v>630</v>
      </c>
      <c r="H279" s="40"/>
      <c r="I279" s="40"/>
      <c r="J279" s="40"/>
      <c r="K279" s="40"/>
    </row>
    <row r="280" spans="3:11" customFormat="1" ht="15" hidden="1" customHeight="1">
      <c r="C280" s="40"/>
      <c r="D280" s="40"/>
      <c r="E280" s="40"/>
      <c r="F280" s="8" t="s">
        <v>631</v>
      </c>
      <c r="G280" s="16" t="s">
        <v>632</v>
      </c>
      <c r="H280" s="40"/>
      <c r="I280" s="40"/>
      <c r="J280" s="40"/>
      <c r="K280" s="40"/>
    </row>
    <row r="281" spans="3:11" customFormat="1" ht="15" hidden="1" customHeight="1">
      <c r="C281" s="40"/>
      <c r="D281" s="40"/>
      <c r="E281" s="40"/>
      <c r="F281" s="8" t="s">
        <v>633</v>
      </c>
      <c r="G281" s="16" t="s">
        <v>634</v>
      </c>
      <c r="H281" s="40"/>
      <c r="I281" s="40"/>
      <c r="J281" s="40"/>
      <c r="K281" s="40"/>
    </row>
    <row r="282" spans="3:11" customFormat="1" ht="15" hidden="1" customHeight="1">
      <c r="C282" s="40"/>
      <c r="D282" s="40"/>
      <c r="E282" s="40"/>
      <c r="F282" s="8" t="s">
        <v>635</v>
      </c>
      <c r="G282" s="16" t="s">
        <v>636</v>
      </c>
      <c r="H282" s="40"/>
      <c r="I282" s="40"/>
      <c r="J282" s="40"/>
      <c r="K282" s="40"/>
    </row>
    <row r="283" spans="3:11" customFormat="1" ht="15" hidden="1" customHeight="1">
      <c r="C283" s="40"/>
      <c r="D283" s="40"/>
      <c r="E283" s="40"/>
      <c r="F283" s="8" t="s">
        <v>637</v>
      </c>
      <c r="G283" s="16" t="s">
        <v>638</v>
      </c>
      <c r="H283" s="40"/>
      <c r="I283" s="40"/>
      <c r="J283" s="40"/>
      <c r="K283" s="40"/>
    </row>
    <row r="284" spans="3:11" customFormat="1" ht="15" hidden="1" customHeight="1">
      <c r="C284" s="40"/>
      <c r="D284" s="40"/>
      <c r="E284" s="40"/>
      <c r="F284" s="8" t="s">
        <v>639</v>
      </c>
      <c r="G284" s="16" t="s">
        <v>640</v>
      </c>
      <c r="H284" s="40"/>
      <c r="I284" s="40"/>
      <c r="J284" s="40"/>
      <c r="K284" s="40"/>
    </row>
    <row r="285" spans="3:11" customFormat="1" ht="15" hidden="1" customHeight="1">
      <c r="C285" s="40"/>
      <c r="D285" s="40"/>
      <c r="E285" s="40"/>
      <c r="F285" s="8" t="s">
        <v>641</v>
      </c>
      <c r="G285" s="16" t="s">
        <v>642</v>
      </c>
      <c r="H285" s="40"/>
      <c r="I285" s="40"/>
      <c r="J285" s="40"/>
      <c r="K285" s="40"/>
    </row>
    <row r="286" spans="3:11" customFormat="1" ht="15" hidden="1" customHeight="1">
      <c r="C286" s="40"/>
      <c r="D286" s="40"/>
      <c r="E286" s="40"/>
      <c r="F286" s="8" t="s">
        <v>643</v>
      </c>
      <c r="G286" s="16" t="s">
        <v>644</v>
      </c>
      <c r="H286" s="40"/>
      <c r="I286" s="40"/>
      <c r="J286" s="40"/>
      <c r="K286" s="40"/>
    </row>
    <row r="287" spans="3:11" customFormat="1" ht="15" hidden="1" customHeight="1">
      <c r="C287" s="40"/>
      <c r="D287" s="40"/>
      <c r="E287" s="40"/>
      <c r="F287" s="8" t="s">
        <v>645</v>
      </c>
      <c r="G287" s="16" t="s">
        <v>646</v>
      </c>
      <c r="H287" s="40"/>
      <c r="I287" s="40"/>
      <c r="J287" s="40"/>
      <c r="K287" s="40"/>
    </row>
    <row r="288" spans="3:11" customFormat="1" ht="15" hidden="1" customHeight="1">
      <c r="C288" s="40"/>
      <c r="D288" s="40"/>
      <c r="E288" s="40"/>
      <c r="F288" s="8" t="s">
        <v>647</v>
      </c>
      <c r="G288" s="16" t="s">
        <v>648</v>
      </c>
      <c r="H288" s="40"/>
      <c r="I288" s="40"/>
      <c r="J288" s="40"/>
      <c r="K288" s="40"/>
    </row>
    <row r="289" spans="3:11" customFormat="1" ht="15" hidden="1" customHeight="1">
      <c r="C289" s="40"/>
      <c r="D289" s="40"/>
      <c r="E289" s="40"/>
      <c r="F289" s="8" t="s">
        <v>649</v>
      </c>
      <c r="G289" s="16" t="s">
        <v>650</v>
      </c>
      <c r="H289" s="40"/>
      <c r="I289" s="40"/>
      <c r="J289" s="40"/>
      <c r="K289" s="40"/>
    </row>
    <row r="290" spans="3:11" customFormat="1" ht="15" hidden="1" customHeight="1">
      <c r="C290" s="40"/>
      <c r="D290" s="40"/>
      <c r="E290" s="40"/>
      <c r="F290" s="8" t="s">
        <v>651</v>
      </c>
      <c r="G290" s="16" t="s">
        <v>652</v>
      </c>
      <c r="H290" s="40"/>
      <c r="I290" s="40"/>
      <c r="J290" s="40"/>
      <c r="K290" s="40"/>
    </row>
    <row r="291" spans="3:11" customFormat="1" ht="15" hidden="1" customHeight="1">
      <c r="C291" s="40"/>
      <c r="D291" s="40"/>
      <c r="E291" s="40"/>
      <c r="F291" s="8" t="s">
        <v>653</v>
      </c>
      <c r="G291" s="16" t="s">
        <v>654</v>
      </c>
      <c r="H291" s="40"/>
      <c r="I291" s="40"/>
      <c r="J291" s="40"/>
      <c r="K291" s="40"/>
    </row>
    <row r="292" spans="3:11" customFormat="1" ht="15" hidden="1" customHeight="1">
      <c r="C292" s="40"/>
      <c r="D292" s="40"/>
      <c r="E292" s="40"/>
      <c r="F292" s="8" t="s">
        <v>655</v>
      </c>
      <c r="G292" s="16" t="s">
        <v>656</v>
      </c>
      <c r="H292" s="40"/>
      <c r="I292" s="40"/>
      <c r="J292" s="40"/>
      <c r="K292" s="40"/>
    </row>
    <row r="293" spans="3:11" customFormat="1" ht="15" hidden="1" customHeight="1">
      <c r="C293" s="40"/>
      <c r="D293" s="40"/>
      <c r="E293" s="40"/>
      <c r="F293" s="8" t="s">
        <v>657</v>
      </c>
      <c r="G293" s="16" t="s">
        <v>658</v>
      </c>
      <c r="H293" s="40"/>
      <c r="I293" s="40"/>
      <c r="J293" s="40"/>
      <c r="K293" s="40"/>
    </row>
    <row r="294" spans="3:11" customFormat="1" ht="15" hidden="1" customHeight="1">
      <c r="C294" s="40"/>
      <c r="D294" s="40"/>
      <c r="E294" s="40"/>
      <c r="F294" s="8" t="s">
        <v>659</v>
      </c>
      <c r="G294" s="16" t="s">
        <v>660</v>
      </c>
      <c r="H294" s="40"/>
      <c r="I294" s="40"/>
      <c r="J294" s="40"/>
      <c r="K294" s="40"/>
    </row>
    <row r="295" spans="3:11" customFormat="1" ht="15" hidden="1" customHeight="1">
      <c r="C295" s="40"/>
      <c r="D295" s="40"/>
      <c r="E295" s="40"/>
      <c r="F295" s="8" t="s">
        <v>661</v>
      </c>
      <c r="G295" s="16" t="s">
        <v>662</v>
      </c>
      <c r="H295" s="40"/>
      <c r="I295" s="40"/>
      <c r="J295" s="40"/>
      <c r="K295" s="40"/>
    </row>
    <row r="296" spans="3:11" customFormat="1" ht="15" hidden="1" customHeight="1">
      <c r="C296" s="40"/>
      <c r="D296" s="40"/>
      <c r="E296" s="40"/>
      <c r="F296" s="8" t="s">
        <v>663</v>
      </c>
      <c r="G296" s="16" t="s">
        <v>664</v>
      </c>
      <c r="H296" s="40"/>
      <c r="I296" s="40"/>
      <c r="J296" s="40"/>
      <c r="K296" s="40"/>
    </row>
    <row r="297" spans="3:11" customFormat="1" ht="15" hidden="1" customHeight="1">
      <c r="C297" s="40"/>
      <c r="D297" s="40"/>
      <c r="E297" s="40"/>
      <c r="F297" s="8" t="s">
        <v>665</v>
      </c>
      <c r="G297" s="16" t="s">
        <v>666</v>
      </c>
      <c r="H297" s="40"/>
      <c r="I297" s="40"/>
      <c r="J297" s="40"/>
      <c r="K297" s="40"/>
    </row>
    <row r="298" spans="3:11" customFormat="1" ht="15" hidden="1" customHeight="1">
      <c r="C298" s="40"/>
      <c r="D298" s="40"/>
      <c r="E298" s="40"/>
      <c r="F298" s="8" t="s">
        <v>667</v>
      </c>
      <c r="G298" s="16" t="s">
        <v>668</v>
      </c>
      <c r="H298" s="40"/>
      <c r="I298" s="40"/>
      <c r="J298" s="40"/>
      <c r="K298" s="40"/>
    </row>
    <row r="299" spans="3:11" customFormat="1" ht="15" hidden="1" customHeight="1">
      <c r="C299" s="40"/>
      <c r="D299" s="40"/>
      <c r="E299" s="40"/>
      <c r="F299" s="8" t="s">
        <v>669</v>
      </c>
      <c r="G299" s="16" t="s">
        <v>670</v>
      </c>
      <c r="H299" s="40"/>
      <c r="I299" s="40"/>
      <c r="J299" s="40"/>
      <c r="K299" s="40"/>
    </row>
    <row r="300" spans="3:11" customFormat="1" ht="15" hidden="1" customHeight="1">
      <c r="C300" s="40"/>
      <c r="D300" s="40"/>
      <c r="E300" s="40"/>
      <c r="F300" s="8" t="s">
        <v>671</v>
      </c>
      <c r="G300" s="16" t="s">
        <v>672</v>
      </c>
      <c r="H300" s="40"/>
      <c r="I300" s="40"/>
      <c r="J300" s="40"/>
      <c r="K300" s="40"/>
    </row>
    <row r="301" spans="3:11" customFormat="1" ht="15" hidden="1" customHeight="1">
      <c r="C301" s="40"/>
      <c r="D301" s="40"/>
      <c r="E301" s="40"/>
      <c r="F301" s="8" t="s">
        <v>673</v>
      </c>
      <c r="G301" s="16" t="s">
        <v>674</v>
      </c>
      <c r="H301" s="40"/>
      <c r="I301" s="40"/>
      <c r="J301" s="40"/>
      <c r="K301" s="40"/>
    </row>
    <row r="302" spans="3:11" customFormat="1" ht="15" hidden="1" customHeight="1">
      <c r="C302" s="40"/>
      <c r="D302" s="40"/>
      <c r="E302" s="40"/>
      <c r="F302" s="8" t="s">
        <v>675</v>
      </c>
      <c r="G302" s="16" t="s">
        <v>676</v>
      </c>
      <c r="H302" s="40"/>
      <c r="I302" s="40"/>
      <c r="J302" s="40"/>
      <c r="K302" s="40"/>
    </row>
    <row r="303" spans="3:11" customFormat="1" ht="15" hidden="1" customHeight="1">
      <c r="C303" s="40"/>
      <c r="D303" s="40"/>
      <c r="E303" s="40"/>
      <c r="F303" s="8" t="s">
        <v>677</v>
      </c>
      <c r="G303" s="16" t="s">
        <v>678</v>
      </c>
      <c r="H303" s="40"/>
      <c r="I303" s="40"/>
      <c r="J303" s="40"/>
      <c r="K303" s="40"/>
    </row>
    <row r="304" spans="3:11" customFormat="1" ht="15" hidden="1" customHeight="1">
      <c r="C304" s="40"/>
      <c r="D304" s="40"/>
      <c r="E304" s="40"/>
      <c r="F304" s="8" t="s">
        <v>679</v>
      </c>
      <c r="G304" s="16" t="s">
        <v>680</v>
      </c>
      <c r="H304" s="40"/>
      <c r="I304" s="40"/>
      <c r="J304" s="40"/>
      <c r="K304" s="40"/>
    </row>
    <row r="305" spans="3:11" customFormat="1" ht="15" hidden="1" customHeight="1">
      <c r="C305" s="40"/>
      <c r="D305" s="40"/>
      <c r="E305" s="40"/>
      <c r="F305" s="8" t="s">
        <v>681</v>
      </c>
      <c r="G305" s="16" t="s">
        <v>682</v>
      </c>
      <c r="H305" s="40"/>
      <c r="I305" s="40"/>
      <c r="J305" s="40"/>
      <c r="K305" s="40"/>
    </row>
    <row r="306" spans="3:11" customFormat="1" ht="15" hidden="1" customHeight="1">
      <c r="C306" s="40"/>
      <c r="D306" s="40"/>
      <c r="E306" s="40"/>
      <c r="F306" s="8" t="s">
        <v>683</v>
      </c>
      <c r="G306" s="16" t="s">
        <v>684</v>
      </c>
      <c r="H306" s="40"/>
      <c r="I306" s="40"/>
      <c r="J306" s="40"/>
      <c r="K306" s="40"/>
    </row>
    <row r="307" spans="3:11" customFormat="1" ht="15" hidden="1" customHeight="1">
      <c r="C307" s="40"/>
      <c r="D307" s="40"/>
      <c r="E307" s="40"/>
      <c r="F307" s="8" t="s">
        <v>685</v>
      </c>
      <c r="G307" s="16" t="s">
        <v>686</v>
      </c>
      <c r="H307" s="40"/>
      <c r="I307" s="40"/>
      <c r="J307" s="40"/>
      <c r="K307" s="40"/>
    </row>
    <row r="308" spans="3:11" customFormat="1" ht="15" hidden="1" customHeight="1">
      <c r="C308" s="40"/>
      <c r="D308" s="40"/>
      <c r="E308" s="40"/>
      <c r="F308" s="8" t="s">
        <v>687</v>
      </c>
      <c r="G308" s="16" t="s">
        <v>688</v>
      </c>
      <c r="H308" s="40"/>
      <c r="I308" s="40"/>
      <c r="J308" s="40"/>
      <c r="K308" s="40"/>
    </row>
    <row r="309" spans="3:11" customFormat="1" ht="15" hidden="1" customHeight="1">
      <c r="C309" s="40"/>
      <c r="D309" s="40"/>
      <c r="E309" s="40"/>
      <c r="F309" s="8" t="s">
        <v>689</v>
      </c>
      <c r="G309" s="16" t="s">
        <v>690</v>
      </c>
      <c r="H309" s="40"/>
      <c r="I309" s="40"/>
      <c r="J309" s="40"/>
      <c r="K309" s="40"/>
    </row>
    <row r="310" spans="3:11" customFormat="1" ht="15" hidden="1" customHeight="1">
      <c r="C310" s="40"/>
      <c r="D310" s="40"/>
      <c r="E310" s="40"/>
      <c r="F310" s="8" t="s">
        <v>691</v>
      </c>
      <c r="G310" s="16" t="s">
        <v>692</v>
      </c>
      <c r="H310" s="40"/>
      <c r="I310" s="40"/>
      <c r="J310" s="40"/>
      <c r="K310" s="40"/>
    </row>
    <row r="311" spans="3:11" customFormat="1" ht="15" hidden="1" customHeight="1">
      <c r="C311" s="40"/>
      <c r="D311" s="40"/>
      <c r="E311" s="40"/>
      <c r="F311" s="8" t="s">
        <v>693</v>
      </c>
      <c r="G311" s="16" t="s">
        <v>694</v>
      </c>
      <c r="H311" s="40"/>
      <c r="I311" s="40"/>
      <c r="J311" s="40"/>
      <c r="K311" s="40"/>
    </row>
    <row r="312" spans="3:11" customFormat="1" ht="15" hidden="1" customHeight="1">
      <c r="C312" s="40"/>
      <c r="D312" s="40"/>
      <c r="E312" s="40"/>
      <c r="F312" s="8" t="s">
        <v>695</v>
      </c>
      <c r="G312" s="16" t="s">
        <v>696</v>
      </c>
      <c r="H312" s="40"/>
      <c r="I312" s="40"/>
      <c r="J312" s="40"/>
      <c r="K312" s="40"/>
    </row>
    <row r="313" spans="3:11" customFormat="1" ht="15" hidden="1" customHeight="1">
      <c r="C313" s="40"/>
      <c r="D313" s="40"/>
      <c r="E313" s="40"/>
      <c r="F313" s="8" t="s">
        <v>697</v>
      </c>
      <c r="G313" s="16" t="s">
        <v>698</v>
      </c>
      <c r="H313" s="40"/>
      <c r="I313" s="40"/>
      <c r="J313" s="40"/>
      <c r="K313" s="40"/>
    </row>
    <row r="314" spans="3:11" customFormat="1" ht="15" hidden="1" customHeight="1">
      <c r="C314" s="40"/>
      <c r="D314" s="40"/>
      <c r="E314" s="40"/>
      <c r="F314" s="8" t="s">
        <v>699</v>
      </c>
      <c r="G314" s="16" t="s">
        <v>700</v>
      </c>
      <c r="H314" s="40"/>
      <c r="I314" s="40"/>
      <c r="J314" s="40"/>
      <c r="K314" s="40"/>
    </row>
    <row r="315" spans="3:11" customFormat="1" ht="15" hidden="1" customHeight="1">
      <c r="C315" s="40"/>
      <c r="D315" s="40"/>
      <c r="E315" s="40"/>
      <c r="F315" s="8" t="s">
        <v>701</v>
      </c>
      <c r="G315" s="16" t="s">
        <v>702</v>
      </c>
      <c r="H315" s="40"/>
      <c r="I315" s="40"/>
      <c r="J315" s="40"/>
      <c r="K315" s="40"/>
    </row>
    <row r="316" spans="3:11" customFormat="1" ht="15" hidden="1" customHeight="1">
      <c r="C316" s="40"/>
      <c r="D316" s="40"/>
      <c r="E316" s="40"/>
      <c r="F316" s="8" t="s">
        <v>703</v>
      </c>
      <c r="G316" s="16" t="s">
        <v>704</v>
      </c>
      <c r="H316" s="40"/>
      <c r="I316" s="40"/>
      <c r="J316" s="40"/>
      <c r="K316" s="40"/>
    </row>
    <row r="317" spans="3:11" customFormat="1" ht="15" hidden="1" customHeight="1">
      <c r="C317" s="40"/>
      <c r="D317" s="40"/>
      <c r="E317" s="40"/>
      <c r="F317" s="8" t="s">
        <v>705</v>
      </c>
      <c r="G317" s="16" t="s">
        <v>706</v>
      </c>
      <c r="H317" s="40"/>
      <c r="I317" s="40"/>
      <c r="J317" s="40"/>
      <c r="K317" s="40"/>
    </row>
    <row r="318" spans="3:11" customFormat="1" ht="15" hidden="1" customHeight="1">
      <c r="C318" s="40"/>
      <c r="D318" s="40"/>
      <c r="E318" s="40"/>
      <c r="F318" s="8" t="s">
        <v>707</v>
      </c>
      <c r="G318" s="16" t="s">
        <v>708</v>
      </c>
      <c r="H318" s="40"/>
      <c r="I318" s="40"/>
      <c r="J318" s="40"/>
      <c r="K318" s="40"/>
    </row>
    <row r="319" spans="3:11" customFormat="1" ht="15" hidden="1" customHeight="1">
      <c r="C319" s="40"/>
      <c r="D319" s="40"/>
      <c r="E319" s="40"/>
      <c r="F319" s="8" t="s">
        <v>709</v>
      </c>
      <c r="G319" s="16" t="s">
        <v>710</v>
      </c>
      <c r="H319" s="40"/>
      <c r="I319" s="40"/>
      <c r="J319" s="40"/>
      <c r="K319" s="40"/>
    </row>
    <row r="320" spans="3:11" customFormat="1" ht="15" hidden="1" customHeight="1">
      <c r="C320" s="40"/>
      <c r="D320" s="40"/>
      <c r="E320" s="40"/>
      <c r="F320" s="8" t="s">
        <v>711</v>
      </c>
      <c r="G320" s="16" t="s">
        <v>712</v>
      </c>
      <c r="H320" s="40"/>
      <c r="I320" s="40"/>
      <c r="J320" s="40"/>
      <c r="K320" s="40"/>
    </row>
    <row r="321" spans="3:43" customFormat="1" ht="15" hidden="1" customHeight="1">
      <c r="C321" s="40"/>
      <c r="D321" s="40"/>
      <c r="E321" s="40"/>
      <c r="F321" s="8" t="s">
        <v>713</v>
      </c>
      <c r="G321" s="16" t="s">
        <v>714</v>
      </c>
      <c r="H321" s="40"/>
      <c r="I321" s="40"/>
      <c r="J321" s="40"/>
      <c r="K321" s="40"/>
    </row>
    <row r="322" spans="3:43" customFormat="1" ht="15" hidden="1" customHeight="1">
      <c r="C322" s="40"/>
      <c r="D322" s="40"/>
      <c r="E322" s="40"/>
      <c r="F322" s="8" t="s">
        <v>715</v>
      </c>
      <c r="G322" s="16" t="s">
        <v>716</v>
      </c>
      <c r="H322" s="40"/>
      <c r="I322" s="40"/>
      <c r="J322" s="40"/>
      <c r="K322" s="40"/>
    </row>
    <row r="323" spans="3:43" customFormat="1" ht="15" hidden="1" customHeight="1">
      <c r="C323" s="40"/>
      <c r="D323" s="40"/>
      <c r="E323" s="40"/>
      <c r="F323" s="8" t="s">
        <v>717</v>
      </c>
      <c r="G323" s="16" t="s">
        <v>718</v>
      </c>
      <c r="H323" s="40"/>
      <c r="I323" s="40"/>
      <c r="J323" s="40"/>
      <c r="K323" s="40"/>
    </row>
    <row r="324" spans="3:43" customFormat="1" ht="15" customHeight="1">
      <c r="C324" s="40"/>
      <c r="D324" s="40"/>
      <c r="E324" s="40"/>
      <c r="F324" s="8" t="s">
        <v>719</v>
      </c>
      <c r="G324" s="16" t="s">
        <v>720</v>
      </c>
      <c r="H324" s="40"/>
      <c r="I324" s="40"/>
      <c r="J324" s="40"/>
      <c r="K324" s="40"/>
    </row>
    <row r="325" spans="3:43" customFormat="1" ht="15" customHeight="1">
      <c r="C325" s="40"/>
      <c r="D325" s="40"/>
      <c r="E325" s="40"/>
      <c r="F325" s="8" t="s">
        <v>721</v>
      </c>
      <c r="G325" s="16" t="s">
        <v>722</v>
      </c>
      <c r="H325" s="40"/>
      <c r="I325" s="40"/>
      <c r="J325" s="40"/>
      <c r="K325" s="40"/>
    </row>
    <row r="326" spans="3:43" customFormat="1" ht="15" customHeight="1">
      <c r="C326" s="40"/>
      <c r="D326" s="40"/>
      <c r="E326" s="40"/>
      <c r="F326" s="40"/>
      <c r="G326" s="40"/>
      <c r="H326" s="40"/>
      <c r="I326" s="40"/>
      <c r="J326" s="40"/>
      <c r="K326" s="40"/>
    </row>
    <row r="327" spans="3:43" customFormat="1" ht="15" customHeight="1">
      <c r="C327" s="40"/>
      <c r="D327" s="40"/>
      <c r="H327" s="40"/>
      <c r="I327" s="40"/>
      <c r="J327" s="40"/>
    </row>
    <row r="328" spans="3:43" customFormat="1" ht="15" customHeight="1">
      <c r="C328" s="40"/>
      <c r="D328" s="40"/>
      <c r="H328" s="40"/>
      <c r="I328" s="40"/>
      <c r="J328" s="40"/>
    </row>
    <row r="329" spans="3:43" customFormat="1" ht="15" customHeight="1">
      <c r="C329" s="40"/>
      <c r="D329" s="40"/>
      <c r="H329" s="40"/>
      <c r="I329" s="40"/>
      <c r="J329" s="40"/>
    </row>
    <row r="330" spans="3:43" customFormat="1" ht="15" customHeight="1">
      <c r="C330" s="40"/>
      <c r="D330" s="40"/>
      <c r="H330" s="40"/>
      <c r="I330" s="40"/>
      <c r="J330" s="40"/>
    </row>
    <row r="331" spans="3:43" customFormat="1" ht="15" customHeight="1">
      <c r="C331" s="40"/>
      <c r="D331" s="40"/>
      <c r="H331" s="40"/>
      <c r="I331" s="40"/>
      <c r="J331" s="40"/>
    </row>
    <row r="332" spans="3:43" customFormat="1" ht="15" customHeight="1">
      <c r="C332" s="40"/>
      <c r="D332" s="40"/>
      <c r="H332" s="40"/>
      <c r="I332" s="40"/>
      <c r="J332" s="40"/>
    </row>
    <row r="333" spans="3:43" customFormat="1" ht="15" customHeight="1" thickBot="1">
      <c r="C333" s="40"/>
      <c r="D333" s="40"/>
      <c r="H333" s="40"/>
      <c r="I333" s="40"/>
      <c r="J333" s="40"/>
    </row>
    <row r="334" spans="3:43" customFormat="1" ht="15" customHeight="1" thickTop="1">
      <c r="C334" s="40"/>
      <c r="D334" s="40"/>
      <c r="E334" s="40"/>
      <c r="F334" s="90" t="s">
        <v>723</v>
      </c>
      <c r="G334" s="91" t="s">
        <v>724</v>
      </c>
      <c r="H334" s="40"/>
      <c r="I334" s="40"/>
      <c r="J334" s="40"/>
      <c r="K334" s="40"/>
      <c r="S334" s="90" t="s">
        <v>725</v>
      </c>
      <c r="T334" s="91" t="s">
        <v>726</v>
      </c>
      <c r="V334" s="90" t="s">
        <v>727</v>
      </c>
      <c r="W334" s="91" t="s">
        <v>728</v>
      </c>
      <c r="Z334" s="64" t="s">
        <v>729</v>
      </c>
      <c r="AA334" s="64" t="s">
        <v>730</v>
      </c>
      <c r="AC334" s="64" t="s">
        <v>731</v>
      </c>
      <c r="AD334" s="64" t="s">
        <v>732</v>
      </c>
      <c r="AF334" s="90" t="s">
        <v>733</v>
      </c>
      <c r="AG334" s="91" t="s">
        <v>734</v>
      </c>
      <c r="AK334" s="64" t="s">
        <v>735</v>
      </c>
      <c r="AL334" s="64" t="s">
        <v>736</v>
      </c>
      <c r="AP334" s="64" t="s">
        <v>737</v>
      </c>
      <c r="AQ334" s="64" t="s">
        <v>738</v>
      </c>
    </row>
    <row r="335" spans="3:43" customFormat="1" ht="15" customHeight="1">
      <c r="C335" s="40"/>
      <c r="D335" s="40"/>
      <c r="E335" s="40"/>
      <c r="F335" s="92" t="s">
        <v>14</v>
      </c>
      <c r="G335" s="93" t="s">
        <v>15</v>
      </c>
      <c r="H335" s="40"/>
      <c r="I335" s="40"/>
      <c r="J335" s="40"/>
      <c r="K335" s="40"/>
      <c r="S335" s="92" t="s">
        <v>14</v>
      </c>
      <c r="T335" s="93" t="s">
        <v>15</v>
      </c>
      <c r="V335" s="92" t="s">
        <v>14</v>
      </c>
      <c r="W335" s="93" t="s">
        <v>15</v>
      </c>
      <c r="Z335" s="7" t="s">
        <v>14</v>
      </c>
      <c r="AA335" s="7" t="s">
        <v>15</v>
      </c>
      <c r="AC335" s="7" t="s">
        <v>14</v>
      </c>
      <c r="AD335" s="7" t="s">
        <v>15</v>
      </c>
      <c r="AF335" s="92" t="s">
        <v>14</v>
      </c>
      <c r="AG335" s="93" t="s">
        <v>15</v>
      </c>
      <c r="AK335" s="7" t="s">
        <v>14</v>
      </c>
      <c r="AL335" s="7" t="s">
        <v>15</v>
      </c>
      <c r="AP335" s="7" t="s">
        <v>14</v>
      </c>
      <c r="AQ335" s="7" t="s">
        <v>15</v>
      </c>
    </row>
    <row r="336" spans="3:43" customFormat="1" ht="15" customHeight="1">
      <c r="C336" s="40"/>
      <c r="D336" s="40"/>
      <c r="E336" s="40"/>
      <c r="F336" s="94" t="s">
        <v>270</v>
      </c>
      <c r="G336" s="95" t="s">
        <v>739</v>
      </c>
      <c r="H336" s="40"/>
      <c r="I336" s="40"/>
      <c r="J336" s="40"/>
      <c r="K336" s="40"/>
      <c r="S336" s="94" t="s">
        <v>275</v>
      </c>
      <c r="T336" s="95" t="s">
        <v>740</v>
      </c>
      <c r="V336" s="94" t="s">
        <v>266</v>
      </c>
      <c r="W336" s="95" t="s">
        <v>267</v>
      </c>
      <c r="Z336" s="8" t="s">
        <v>741</v>
      </c>
      <c r="AA336" s="25" t="s">
        <v>742</v>
      </c>
      <c r="AC336" s="25" t="s">
        <v>741</v>
      </c>
      <c r="AD336" s="25" t="s">
        <v>742</v>
      </c>
      <c r="AF336" s="94" t="s">
        <v>741</v>
      </c>
      <c r="AG336" s="95" t="s">
        <v>742</v>
      </c>
      <c r="AK336" s="8" t="s">
        <v>270</v>
      </c>
      <c r="AL336" s="8" t="s">
        <v>292</v>
      </c>
      <c r="AP336" s="8" t="s">
        <v>270</v>
      </c>
      <c r="AQ336" s="42" t="s">
        <v>293</v>
      </c>
    </row>
    <row r="337" spans="3:43" customFormat="1" ht="15" customHeight="1">
      <c r="C337" s="40"/>
      <c r="D337" s="40"/>
      <c r="E337" s="40"/>
      <c r="F337" s="94" t="s">
        <v>274</v>
      </c>
      <c r="G337" s="95" t="s">
        <v>743</v>
      </c>
      <c r="H337" s="40"/>
      <c r="I337" s="40"/>
      <c r="J337" s="40"/>
      <c r="K337" s="40"/>
      <c r="S337" s="94" t="s">
        <v>270</v>
      </c>
      <c r="T337" s="95" t="s">
        <v>744</v>
      </c>
      <c r="V337" s="94" t="s">
        <v>270</v>
      </c>
      <c r="W337" s="95" t="s">
        <v>745</v>
      </c>
      <c r="Z337" s="8" t="s">
        <v>746</v>
      </c>
      <c r="AA337" s="25" t="s">
        <v>747</v>
      </c>
      <c r="AC337" s="25" t="s">
        <v>746</v>
      </c>
      <c r="AD337" s="25" t="s">
        <v>747</v>
      </c>
      <c r="AF337" s="94" t="s">
        <v>748</v>
      </c>
      <c r="AG337" s="95" t="s">
        <v>747</v>
      </c>
      <c r="AK337" s="8" t="s">
        <v>274</v>
      </c>
      <c r="AL337" s="8" t="s">
        <v>301</v>
      </c>
      <c r="AP337" s="8" t="s">
        <v>274</v>
      </c>
      <c r="AQ337" s="42" t="s">
        <v>301</v>
      </c>
    </row>
    <row r="338" spans="3:43" customFormat="1" ht="15" customHeight="1">
      <c r="C338" s="40"/>
      <c r="D338" s="40"/>
      <c r="E338" s="40"/>
      <c r="F338" s="94" t="s">
        <v>46</v>
      </c>
      <c r="G338" s="95" t="s">
        <v>47</v>
      </c>
      <c r="H338" s="40"/>
      <c r="I338" s="40"/>
      <c r="J338" s="40"/>
      <c r="K338" s="40"/>
      <c r="S338" s="100" t="s">
        <v>266</v>
      </c>
      <c r="T338" s="101" t="s">
        <v>267</v>
      </c>
      <c r="V338" s="100" t="s">
        <v>275</v>
      </c>
      <c r="W338" s="101" t="s">
        <v>276</v>
      </c>
      <c r="Z338" s="8" t="s">
        <v>749</v>
      </c>
      <c r="AA338" s="25" t="s">
        <v>750</v>
      </c>
      <c r="AC338" s="25" t="s">
        <v>749</v>
      </c>
      <c r="AD338" s="25" t="s">
        <v>750</v>
      </c>
      <c r="AF338" s="94" t="s">
        <v>749</v>
      </c>
      <c r="AG338" s="95" t="s">
        <v>750</v>
      </c>
      <c r="AK338" s="8" t="s">
        <v>46</v>
      </c>
      <c r="AL338" s="8" t="s">
        <v>310</v>
      </c>
      <c r="AP338" s="8" t="s">
        <v>122</v>
      </c>
      <c r="AQ338" s="42" t="s">
        <v>123</v>
      </c>
    </row>
    <row r="339" spans="3:43" customFormat="1" ht="15" customHeight="1">
      <c r="C339" s="40"/>
      <c r="D339" s="40"/>
      <c r="E339" s="40"/>
      <c r="F339" s="94" t="s">
        <v>751</v>
      </c>
      <c r="G339" s="95" t="s">
        <v>354</v>
      </c>
      <c r="H339" s="40"/>
      <c r="I339" s="40"/>
      <c r="J339" s="40"/>
      <c r="K339" s="40"/>
      <c r="S339" s="94" t="s">
        <v>122</v>
      </c>
      <c r="T339" s="95" t="s">
        <v>752</v>
      </c>
      <c r="V339" s="94" t="s">
        <v>122</v>
      </c>
      <c r="W339" s="101" t="s">
        <v>123</v>
      </c>
      <c r="Z339" s="8" t="s">
        <v>122</v>
      </c>
      <c r="AA339" s="16" t="s">
        <v>123</v>
      </c>
      <c r="AC339" s="8" t="s">
        <v>122</v>
      </c>
      <c r="AD339" s="16" t="s">
        <v>123</v>
      </c>
      <c r="AF339" s="94" t="s">
        <v>122</v>
      </c>
      <c r="AG339" s="101" t="s">
        <v>123</v>
      </c>
      <c r="AK339" s="8" t="s">
        <v>122</v>
      </c>
      <c r="AL339" s="8" t="s">
        <v>123</v>
      </c>
      <c r="AP339" s="47" t="s">
        <v>18</v>
      </c>
      <c r="AQ339" s="8" t="s">
        <v>753</v>
      </c>
    </row>
    <row r="340" spans="3:43" customFormat="1" ht="15" customHeight="1">
      <c r="C340" s="40"/>
      <c r="D340" s="40"/>
      <c r="E340" s="40"/>
      <c r="F340" s="94" t="s">
        <v>401</v>
      </c>
      <c r="G340" s="95" t="s">
        <v>754</v>
      </c>
      <c r="H340" s="40"/>
      <c r="I340" s="40"/>
      <c r="J340" s="40"/>
      <c r="K340" s="40"/>
      <c r="S340" s="102" t="s">
        <v>525</v>
      </c>
      <c r="T340" s="103" t="s">
        <v>526</v>
      </c>
      <c r="V340" s="94" t="s">
        <v>755</v>
      </c>
      <c r="W340" s="95" t="s">
        <v>756</v>
      </c>
      <c r="Z340" s="8" t="s">
        <v>270</v>
      </c>
      <c r="AA340" s="25" t="s">
        <v>745</v>
      </c>
      <c r="AC340" s="25" t="s">
        <v>270</v>
      </c>
      <c r="AD340" s="25" t="s">
        <v>745</v>
      </c>
      <c r="AF340" s="94" t="s">
        <v>270</v>
      </c>
      <c r="AG340" s="95" t="s">
        <v>745</v>
      </c>
      <c r="AK340" s="8" t="s">
        <v>18</v>
      </c>
      <c r="AL340" s="8" t="s">
        <v>19</v>
      </c>
      <c r="AP340" s="47" t="s">
        <v>20</v>
      </c>
      <c r="AQ340" s="8" t="s">
        <v>21</v>
      </c>
    </row>
    <row r="341" spans="3:43" customFormat="1" ht="15" customHeight="1">
      <c r="C341" s="40"/>
      <c r="D341" s="40"/>
      <c r="E341" s="40"/>
      <c r="F341" s="94" t="s">
        <v>409</v>
      </c>
      <c r="G341" s="95" t="s">
        <v>757</v>
      </c>
      <c r="H341" s="40"/>
      <c r="I341" s="40"/>
      <c r="J341" s="40"/>
      <c r="K341" s="40"/>
      <c r="S341" s="102" t="s">
        <v>527</v>
      </c>
      <c r="T341" s="103" t="s">
        <v>528</v>
      </c>
      <c r="V341" s="94" t="s">
        <v>758</v>
      </c>
      <c r="W341" s="95" t="s">
        <v>759</v>
      </c>
      <c r="Z341" s="8" t="s">
        <v>760</v>
      </c>
      <c r="AA341" s="25" t="s">
        <v>761</v>
      </c>
      <c r="AC341" s="25" t="s">
        <v>266</v>
      </c>
      <c r="AD341" s="25" t="s">
        <v>267</v>
      </c>
      <c r="AF341" s="94" t="s">
        <v>762</v>
      </c>
      <c r="AG341" s="95" t="s">
        <v>763</v>
      </c>
      <c r="AK341" s="8" t="s">
        <v>20</v>
      </c>
      <c r="AL341" s="8" t="s">
        <v>21</v>
      </c>
      <c r="AP341" s="47" t="s">
        <v>328</v>
      </c>
      <c r="AQ341" s="8" t="s">
        <v>329</v>
      </c>
    </row>
    <row r="342" spans="3:43" customFormat="1" ht="15" customHeight="1">
      <c r="C342" s="40"/>
      <c r="D342" s="40"/>
      <c r="E342" s="40"/>
      <c r="F342" s="94" t="s">
        <v>415</v>
      </c>
      <c r="G342" s="95" t="s">
        <v>416</v>
      </c>
      <c r="H342" s="40"/>
      <c r="I342" s="40"/>
      <c r="J342" s="40"/>
      <c r="K342" s="40"/>
      <c r="S342" s="102" t="s">
        <v>529</v>
      </c>
      <c r="T342" s="103" t="s">
        <v>530</v>
      </c>
      <c r="V342" s="94" t="s">
        <v>764</v>
      </c>
      <c r="W342" s="95" t="s">
        <v>765</v>
      </c>
      <c r="Z342" s="8" t="s">
        <v>766</v>
      </c>
      <c r="AA342" s="25" t="s">
        <v>767</v>
      </c>
      <c r="AC342" s="25" t="s">
        <v>768</v>
      </c>
      <c r="AD342" s="25" t="s">
        <v>769</v>
      </c>
      <c r="AF342" s="94" t="s">
        <v>27</v>
      </c>
      <c r="AG342" s="95" t="s">
        <v>28</v>
      </c>
      <c r="AK342" s="8" t="s">
        <v>334</v>
      </c>
      <c r="AL342" s="8" t="s">
        <v>335</v>
      </c>
      <c r="AP342" s="47" t="s">
        <v>336</v>
      </c>
      <c r="AQ342" s="8" t="s">
        <v>337</v>
      </c>
    </row>
    <row r="343" spans="3:43" customFormat="1" ht="15" customHeight="1">
      <c r="C343" s="40"/>
      <c r="D343" s="40"/>
      <c r="E343" s="40"/>
      <c r="F343" s="94" t="s">
        <v>770</v>
      </c>
      <c r="G343" s="95" t="s">
        <v>420</v>
      </c>
      <c r="H343" s="40"/>
      <c r="I343" s="40"/>
      <c r="J343" s="40"/>
      <c r="K343" s="40"/>
      <c r="S343" s="102" t="s">
        <v>531</v>
      </c>
      <c r="T343" s="103" t="s">
        <v>532</v>
      </c>
      <c r="V343" s="94" t="s">
        <v>771</v>
      </c>
      <c r="W343" s="95" t="s">
        <v>772</v>
      </c>
      <c r="Z343" s="8" t="s">
        <v>773</v>
      </c>
      <c r="AA343" s="25" t="s">
        <v>774</v>
      </c>
      <c r="AC343" s="25" t="s">
        <v>775</v>
      </c>
      <c r="AD343" s="67" t="s">
        <v>776</v>
      </c>
      <c r="AF343" s="94" t="s">
        <v>33</v>
      </c>
      <c r="AG343" s="95" t="s">
        <v>34</v>
      </c>
      <c r="AK343" s="8" t="s">
        <v>341</v>
      </c>
      <c r="AL343" s="8" t="s">
        <v>342</v>
      </c>
      <c r="AP343" s="47" t="s">
        <v>343</v>
      </c>
      <c r="AQ343" s="8" t="s">
        <v>344</v>
      </c>
    </row>
    <row r="344" spans="3:43" customFormat="1" ht="15" customHeight="1">
      <c r="C344" s="40"/>
      <c r="D344" s="40"/>
      <c r="E344" s="40"/>
      <c r="F344" s="94" t="s">
        <v>423</v>
      </c>
      <c r="G344" s="95" t="s">
        <v>424</v>
      </c>
      <c r="H344" s="40"/>
      <c r="I344" s="40"/>
      <c r="J344" s="40"/>
      <c r="K344" s="40"/>
      <c r="S344" s="102" t="s">
        <v>533</v>
      </c>
      <c r="T344" s="103" t="s">
        <v>534</v>
      </c>
      <c r="V344" s="94" t="s">
        <v>777</v>
      </c>
      <c r="W344" s="95" t="s">
        <v>778</v>
      </c>
      <c r="Z344" s="8" t="s">
        <v>27</v>
      </c>
      <c r="AA344" s="8" t="s">
        <v>28</v>
      </c>
      <c r="AC344" s="25" t="s">
        <v>779</v>
      </c>
      <c r="AD344" s="25" t="s">
        <v>780</v>
      </c>
      <c r="AF344" s="94" t="s">
        <v>37</v>
      </c>
      <c r="AG344" s="95" t="s">
        <v>38</v>
      </c>
      <c r="AK344" s="8" t="s">
        <v>349</v>
      </c>
      <c r="AL344" s="8" t="s">
        <v>350</v>
      </c>
      <c r="AP344" s="47" t="s">
        <v>351</v>
      </c>
      <c r="AQ344" s="8" t="s">
        <v>352</v>
      </c>
    </row>
    <row r="345" spans="3:43" customFormat="1" ht="15" customHeight="1" thickBot="1">
      <c r="C345" s="40"/>
      <c r="D345" s="40"/>
      <c r="E345" s="40"/>
      <c r="F345" s="94" t="s">
        <v>427</v>
      </c>
      <c r="G345" s="95" t="s">
        <v>428</v>
      </c>
      <c r="H345" s="40"/>
      <c r="I345" s="40"/>
      <c r="J345" s="40"/>
      <c r="K345" s="40"/>
      <c r="S345" s="102" t="s">
        <v>535</v>
      </c>
      <c r="T345" s="103" t="s">
        <v>536</v>
      </c>
      <c r="V345" s="102" t="s">
        <v>781</v>
      </c>
      <c r="W345" s="95" t="s">
        <v>782</v>
      </c>
      <c r="Z345" s="8" t="s">
        <v>33</v>
      </c>
      <c r="AA345" s="8" t="s">
        <v>34</v>
      </c>
      <c r="AC345" s="25" t="s">
        <v>783</v>
      </c>
      <c r="AD345" s="67" t="s">
        <v>784</v>
      </c>
      <c r="AF345" s="98" t="s">
        <v>43</v>
      </c>
      <c r="AG345" s="99" t="s">
        <v>44</v>
      </c>
      <c r="AP345" s="47" t="s">
        <v>359</v>
      </c>
      <c r="AQ345" s="8" t="s">
        <v>360</v>
      </c>
    </row>
    <row r="346" spans="3:43" customFormat="1" ht="15" customHeight="1" thickTop="1">
      <c r="C346" s="40"/>
      <c r="D346" s="40"/>
      <c r="E346" s="40"/>
      <c r="F346" s="94" t="s">
        <v>431</v>
      </c>
      <c r="G346" s="95" t="s">
        <v>432</v>
      </c>
      <c r="H346" s="40"/>
      <c r="I346" s="40"/>
      <c r="J346" s="40"/>
      <c r="K346" s="40"/>
      <c r="S346" s="102" t="s">
        <v>537</v>
      </c>
      <c r="T346" s="103" t="s">
        <v>538</v>
      </c>
      <c r="V346" s="102" t="s">
        <v>785</v>
      </c>
      <c r="W346" s="95" t="s">
        <v>786</v>
      </c>
      <c r="Z346" s="8" t="s">
        <v>37</v>
      </c>
      <c r="AA346" s="8" t="s">
        <v>38</v>
      </c>
      <c r="AC346" s="25" t="s">
        <v>787</v>
      </c>
      <c r="AD346" s="25" t="s">
        <v>788</v>
      </c>
      <c r="AP346" s="47" t="s">
        <v>367</v>
      </c>
      <c r="AQ346" s="8" t="s">
        <v>368</v>
      </c>
    </row>
    <row r="347" spans="3:43" customFormat="1" ht="15" customHeight="1" thickBot="1">
      <c r="C347" s="40"/>
      <c r="D347" s="40"/>
      <c r="E347" s="40"/>
      <c r="F347" s="98" t="s">
        <v>433</v>
      </c>
      <c r="G347" s="99" t="s">
        <v>434</v>
      </c>
      <c r="H347" s="40"/>
      <c r="I347" s="40"/>
      <c r="J347" s="40"/>
      <c r="K347" s="40"/>
      <c r="S347" s="104" t="s">
        <v>539</v>
      </c>
      <c r="T347" s="105" t="s">
        <v>540</v>
      </c>
      <c r="V347" s="104" t="s">
        <v>789</v>
      </c>
      <c r="W347" s="99" t="s">
        <v>790</v>
      </c>
      <c r="Z347" s="8" t="s">
        <v>43</v>
      </c>
      <c r="AA347" s="8" t="s">
        <v>44</v>
      </c>
      <c r="AC347" s="25" t="s">
        <v>791</v>
      </c>
      <c r="AD347" s="67" t="s">
        <v>792</v>
      </c>
      <c r="AP347" s="47" t="s">
        <v>375</v>
      </c>
      <c r="AQ347" s="8" t="s">
        <v>376</v>
      </c>
    </row>
    <row r="348" spans="3:43" customFormat="1" ht="15" hidden="1" customHeight="1">
      <c r="C348" s="40"/>
      <c r="D348" s="40"/>
      <c r="E348" s="40"/>
      <c r="F348" s="43" t="s">
        <v>435</v>
      </c>
      <c r="G348" s="43" t="s">
        <v>436</v>
      </c>
      <c r="H348" s="40"/>
      <c r="I348" s="40"/>
      <c r="J348" s="40"/>
      <c r="K348" s="40"/>
      <c r="S348" s="89" t="s">
        <v>541</v>
      </c>
      <c r="T348" s="89" t="s">
        <v>542</v>
      </c>
      <c r="V348" s="89" t="s">
        <v>793</v>
      </c>
      <c r="W348" s="43" t="s">
        <v>794</v>
      </c>
      <c r="AC348" s="25" t="s">
        <v>795</v>
      </c>
      <c r="AD348" s="25" t="s">
        <v>796</v>
      </c>
      <c r="AP348" s="47" t="s">
        <v>383</v>
      </c>
      <c r="AQ348" s="8" t="s">
        <v>384</v>
      </c>
    </row>
    <row r="349" spans="3:43" customFormat="1" ht="15" hidden="1" customHeight="1">
      <c r="C349" s="40"/>
      <c r="D349" s="40"/>
      <c r="E349" s="40"/>
      <c r="F349" s="8" t="s">
        <v>437</v>
      </c>
      <c r="G349" s="8" t="s">
        <v>438</v>
      </c>
      <c r="H349" s="40"/>
      <c r="I349" s="40"/>
      <c r="J349" s="40"/>
      <c r="K349" s="40"/>
      <c r="S349" s="25" t="s">
        <v>543</v>
      </c>
      <c r="T349" s="25" t="s">
        <v>544</v>
      </c>
      <c r="V349" s="25" t="s">
        <v>797</v>
      </c>
      <c r="W349" s="8" t="s">
        <v>798</v>
      </c>
      <c r="AC349" s="25" t="s">
        <v>799</v>
      </c>
      <c r="AD349" s="67" t="s">
        <v>800</v>
      </c>
      <c r="AP349" s="47" t="s">
        <v>391</v>
      </c>
      <c r="AQ349" s="8" t="s">
        <v>392</v>
      </c>
    </row>
    <row r="350" spans="3:43" customFormat="1" ht="15" hidden="1" customHeight="1">
      <c r="C350" s="40"/>
      <c r="D350" s="40"/>
      <c r="E350" s="40"/>
      <c r="F350" s="8" t="s">
        <v>801</v>
      </c>
      <c r="G350" s="8" t="s">
        <v>802</v>
      </c>
      <c r="H350" s="40"/>
      <c r="I350" s="40"/>
      <c r="J350" s="40"/>
      <c r="K350" s="40"/>
      <c r="S350" s="25" t="s">
        <v>545</v>
      </c>
      <c r="T350" s="25" t="s">
        <v>546</v>
      </c>
      <c r="V350" s="25" t="s">
        <v>803</v>
      </c>
      <c r="W350" s="8" t="s">
        <v>804</v>
      </c>
      <c r="AC350" s="25" t="s">
        <v>805</v>
      </c>
      <c r="AD350" s="25" t="s">
        <v>806</v>
      </c>
      <c r="AP350" s="47" t="s">
        <v>399</v>
      </c>
      <c r="AQ350" s="8" t="s">
        <v>400</v>
      </c>
    </row>
    <row r="351" spans="3:43" customFormat="1" ht="15" hidden="1" customHeight="1">
      <c r="C351" s="40"/>
      <c r="D351" s="40"/>
      <c r="E351" s="40"/>
      <c r="F351" s="8" t="s">
        <v>807</v>
      </c>
      <c r="G351" s="8" t="s">
        <v>808</v>
      </c>
      <c r="H351" s="40"/>
      <c r="I351" s="40"/>
      <c r="J351" s="40"/>
      <c r="K351" s="40"/>
      <c r="S351" s="25" t="s">
        <v>547</v>
      </c>
      <c r="T351" s="25" t="s">
        <v>548</v>
      </c>
      <c r="V351" s="25" t="s">
        <v>809</v>
      </c>
      <c r="W351" s="8" t="s">
        <v>810</v>
      </c>
      <c r="AC351" s="25" t="s">
        <v>811</v>
      </c>
      <c r="AD351" s="67" t="s">
        <v>812</v>
      </c>
      <c r="AP351" s="47" t="s">
        <v>407</v>
      </c>
      <c r="AQ351" s="8" t="s">
        <v>408</v>
      </c>
    </row>
    <row r="352" spans="3:43" customFormat="1" ht="15" hidden="1" customHeight="1">
      <c r="C352" s="40"/>
      <c r="D352" s="40"/>
      <c r="E352" s="40"/>
      <c r="F352" s="8" t="s">
        <v>813</v>
      </c>
      <c r="G352" s="8" t="s">
        <v>814</v>
      </c>
      <c r="H352" s="40"/>
      <c r="I352" s="40"/>
      <c r="J352" s="40"/>
      <c r="K352" s="40"/>
      <c r="S352" s="20" t="s">
        <v>27</v>
      </c>
      <c r="T352" s="20" t="s">
        <v>28</v>
      </c>
      <c r="V352" s="20" t="s">
        <v>27</v>
      </c>
      <c r="W352" s="20" t="s">
        <v>28</v>
      </c>
      <c r="AC352" s="25" t="s">
        <v>815</v>
      </c>
      <c r="AD352" s="25" t="s">
        <v>816</v>
      </c>
      <c r="AP352" s="58" t="s">
        <v>413</v>
      </c>
      <c r="AQ352" s="8" t="s">
        <v>414</v>
      </c>
    </row>
    <row r="353" spans="3:43" customFormat="1" ht="15" hidden="1" customHeight="1">
      <c r="C353" s="40"/>
      <c r="D353" s="40"/>
      <c r="E353" s="40"/>
      <c r="F353" s="16" t="s">
        <v>817</v>
      </c>
      <c r="G353" s="16" t="s">
        <v>818</v>
      </c>
      <c r="H353" s="40"/>
      <c r="I353" s="40"/>
      <c r="J353" s="40"/>
      <c r="K353" s="40"/>
      <c r="S353" s="20" t="s">
        <v>33</v>
      </c>
      <c r="T353" s="20" t="s">
        <v>34</v>
      </c>
      <c r="V353" s="20" t="s">
        <v>33</v>
      </c>
      <c r="W353" s="20" t="s">
        <v>34</v>
      </c>
      <c r="AC353" s="25" t="s">
        <v>819</v>
      </c>
      <c r="AD353" s="67" t="s">
        <v>820</v>
      </c>
      <c r="AP353" s="68" t="s">
        <v>27</v>
      </c>
      <c r="AQ353" s="68" t="s">
        <v>28</v>
      </c>
    </row>
    <row r="354" spans="3:43" customFormat="1" ht="15" hidden="1" customHeight="1">
      <c r="C354" s="40"/>
      <c r="D354" s="40"/>
      <c r="E354" s="40"/>
      <c r="F354" s="16" t="s">
        <v>821</v>
      </c>
      <c r="G354" s="16" t="s">
        <v>822</v>
      </c>
      <c r="H354" s="40"/>
      <c r="I354" s="40"/>
      <c r="J354" s="40"/>
      <c r="K354" s="40"/>
      <c r="S354" s="20" t="s">
        <v>37</v>
      </c>
      <c r="T354" s="20" t="s">
        <v>38</v>
      </c>
      <c r="V354" s="20" t="s">
        <v>37</v>
      </c>
      <c r="W354" s="20" t="s">
        <v>38</v>
      </c>
      <c r="AC354" s="25" t="s">
        <v>823</v>
      </c>
      <c r="AD354" s="67" t="s">
        <v>824</v>
      </c>
      <c r="AP354" s="68" t="s">
        <v>33</v>
      </c>
      <c r="AQ354" s="68" t="s">
        <v>34</v>
      </c>
    </row>
    <row r="355" spans="3:43" customFormat="1" ht="15" hidden="1" customHeight="1">
      <c r="C355" s="40"/>
      <c r="D355" s="40"/>
      <c r="E355" s="40"/>
      <c r="F355" s="16" t="s">
        <v>825</v>
      </c>
      <c r="G355" s="16" t="s">
        <v>826</v>
      </c>
      <c r="H355" s="40"/>
      <c r="I355" s="40"/>
      <c r="J355" s="40"/>
      <c r="K355" s="40"/>
      <c r="S355" s="20" t="s">
        <v>43</v>
      </c>
      <c r="T355" s="20" t="s">
        <v>44</v>
      </c>
      <c r="V355" s="20" t="s">
        <v>43</v>
      </c>
      <c r="W355" s="20" t="s">
        <v>44</v>
      </c>
      <c r="AC355" s="20" t="s">
        <v>27</v>
      </c>
      <c r="AD355" s="20" t="s">
        <v>28</v>
      </c>
      <c r="AP355" s="68" t="s">
        <v>37</v>
      </c>
      <c r="AQ355" s="68" t="s">
        <v>38</v>
      </c>
    </row>
    <row r="356" spans="3:43" customFormat="1" ht="15" hidden="1" customHeight="1">
      <c r="C356" s="40"/>
      <c r="D356" s="40"/>
      <c r="E356" s="40"/>
      <c r="F356" s="16" t="s">
        <v>827</v>
      </c>
      <c r="G356" s="16" t="s">
        <v>828</v>
      </c>
      <c r="H356" s="40"/>
      <c r="I356" s="40"/>
      <c r="J356" s="40"/>
      <c r="K356" s="40"/>
      <c r="V356" s="40"/>
      <c r="W356" s="40"/>
      <c r="AC356" s="20" t="s">
        <v>33</v>
      </c>
      <c r="AD356" s="20" t="s">
        <v>34</v>
      </c>
      <c r="AP356" s="69" t="s">
        <v>43</v>
      </c>
      <c r="AQ356" s="68" t="s">
        <v>44</v>
      </c>
    </row>
    <row r="357" spans="3:43" customFormat="1" ht="15" hidden="1" customHeight="1">
      <c r="C357" s="40"/>
      <c r="D357" s="40"/>
      <c r="E357" s="40"/>
      <c r="F357" s="16" t="s">
        <v>829</v>
      </c>
      <c r="G357" s="16" t="s">
        <v>830</v>
      </c>
      <c r="H357" s="40"/>
      <c r="I357" s="40"/>
      <c r="J357" s="40"/>
      <c r="K357" s="40"/>
      <c r="AC357" s="20" t="s">
        <v>37</v>
      </c>
      <c r="AD357" s="20" t="s">
        <v>38</v>
      </c>
    </row>
    <row r="358" spans="3:43" customFormat="1" ht="15" hidden="1" customHeight="1">
      <c r="C358" s="40"/>
      <c r="D358" s="40"/>
      <c r="E358" s="40"/>
      <c r="F358" s="16" t="s">
        <v>831</v>
      </c>
      <c r="G358" s="16" t="s">
        <v>832</v>
      </c>
      <c r="H358" s="40"/>
      <c r="I358" s="40"/>
      <c r="J358" s="40"/>
      <c r="K358" s="40"/>
      <c r="AC358" s="20" t="s">
        <v>43</v>
      </c>
      <c r="AD358" s="20" t="s">
        <v>44</v>
      </c>
    </row>
    <row r="359" spans="3:43" customFormat="1" ht="15" hidden="1" customHeight="1">
      <c r="C359" s="40"/>
      <c r="D359" s="40"/>
      <c r="E359" s="40"/>
      <c r="F359" s="16" t="s">
        <v>833</v>
      </c>
      <c r="G359" s="16" t="s">
        <v>834</v>
      </c>
      <c r="H359" s="40"/>
      <c r="I359" s="40"/>
      <c r="J359" s="40"/>
      <c r="K359" s="40"/>
    </row>
    <row r="360" spans="3:43" customFormat="1" ht="15" hidden="1" customHeight="1">
      <c r="C360" s="40"/>
      <c r="D360" s="40"/>
      <c r="E360" s="40"/>
      <c r="F360" s="16" t="s">
        <v>835</v>
      </c>
      <c r="G360" s="16" t="s">
        <v>836</v>
      </c>
      <c r="H360" s="40"/>
      <c r="I360" s="40"/>
      <c r="J360" s="40"/>
      <c r="K360" s="40"/>
    </row>
    <row r="361" spans="3:43" customFormat="1" ht="15" hidden="1" customHeight="1">
      <c r="C361" s="40"/>
      <c r="D361" s="40"/>
      <c r="E361" s="40"/>
      <c r="F361" s="16" t="s">
        <v>837</v>
      </c>
      <c r="G361" s="16" t="s">
        <v>838</v>
      </c>
      <c r="H361" s="40"/>
      <c r="I361" s="40"/>
      <c r="J361" s="40"/>
      <c r="K361" s="40"/>
    </row>
    <row r="362" spans="3:43" customFormat="1" ht="15" hidden="1" customHeight="1">
      <c r="C362" s="40"/>
      <c r="D362" s="40"/>
      <c r="E362" s="40"/>
      <c r="F362" s="16" t="s">
        <v>839</v>
      </c>
      <c r="G362" s="16" t="s">
        <v>840</v>
      </c>
      <c r="H362" s="40"/>
      <c r="I362" s="40"/>
      <c r="J362" s="40"/>
      <c r="K362" s="40"/>
    </row>
    <row r="363" spans="3:43" customFormat="1" ht="15" hidden="1" customHeight="1">
      <c r="C363" s="40"/>
      <c r="D363" s="40"/>
      <c r="E363" s="40"/>
      <c r="F363" s="16" t="s">
        <v>841</v>
      </c>
      <c r="G363" s="16" t="s">
        <v>842</v>
      </c>
      <c r="H363" s="40"/>
      <c r="I363" s="40"/>
      <c r="J363" s="40"/>
      <c r="K363" s="40"/>
    </row>
    <row r="364" spans="3:43" customFormat="1" ht="15" hidden="1" customHeight="1">
      <c r="C364" s="40"/>
      <c r="D364" s="40"/>
      <c r="E364" s="40"/>
      <c r="F364" s="16" t="s">
        <v>843</v>
      </c>
      <c r="G364" s="16" t="s">
        <v>844</v>
      </c>
      <c r="H364" s="40"/>
      <c r="I364" s="40"/>
      <c r="J364" s="40"/>
      <c r="K364" s="40"/>
    </row>
    <row r="365" spans="3:43" customFormat="1" ht="15" hidden="1" customHeight="1">
      <c r="C365" s="40"/>
      <c r="D365" s="40"/>
      <c r="E365" s="40"/>
      <c r="F365" s="16" t="s">
        <v>845</v>
      </c>
      <c r="G365" s="16" t="s">
        <v>846</v>
      </c>
      <c r="H365" s="40"/>
      <c r="I365" s="40"/>
      <c r="J365" s="40"/>
      <c r="K365" s="40"/>
    </row>
    <row r="366" spans="3:43" customFormat="1" ht="15" hidden="1" customHeight="1">
      <c r="C366" s="40"/>
      <c r="D366" s="40"/>
      <c r="E366" s="40"/>
      <c r="F366" s="16" t="s">
        <v>847</v>
      </c>
      <c r="G366" s="16" t="s">
        <v>848</v>
      </c>
      <c r="H366" s="40"/>
      <c r="I366" s="40"/>
      <c r="J366" s="40"/>
      <c r="K366" s="40"/>
    </row>
    <row r="367" spans="3:43" customFormat="1" ht="15" hidden="1" customHeight="1">
      <c r="C367" s="40"/>
      <c r="D367" s="40"/>
      <c r="E367" s="40"/>
      <c r="F367" s="16" t="s">
        <v>849</v>
      </c>
      <c r="G367" s="16" t="s">
        <v>850</v>
      </c>
      <c r="H367" s="40"/>
      <c r="I367" s="40"/>
      <c r="J367" s="40"/>
      <c r="K367" s="40"/>
    </row>
    <row r="368" spans="3:43" customFormat="1" ht="15" hidden="1" customHeight="1">
      <c r="C368" s="40"/>
      <c r="D368" s="40"/>
      <c r="E368" s="40"/>
      <c r="F368" s="16" t="s">
        <v>851</v>
      </c>
      <c r="G368" s="16" t="s">
        <v>852</v>
      </c>
      <c r="H368" s="40"/>
      <c r="I368" s="40"/>
      <c r="J368" s="40"/>
      <c r="K368" s="40"/>
    </row>
    <row r="369" spans="3:11" customFormat="1" ht="15" hidden="1" customHeight="1">
      <c r="C369" s="40"/>
      <c r="D369" s="40"/>
      <c r="E369" s="40"/>
      <c r="F369" s="16" t="s">
        <v>853</v>
      </c>
      <c r="G369" s="16" t="s">
        <v>854</v>
      </c>
      <c r="H369" s="40"/>
      <c r="I369" s="40"/>
      <c r="J369" s="40"/>
      <c r="K369" s="40"/>
    </row>
    <row r="370" spans="3:11" customFormat="1" ht="15" hidden="1" customHeight="1">
      <c r="C370" s="40"/>
      <c r="D370" s="40"/>
      <c r="E370" s="40"/>
      <c r="F370" s="16" t="s">
        <v>855</v>
      </c>
      <c r="G370" s="16" t="s">
        <v>856</v>
      </c>
      <c r="H370" s="40"/>
      <c r="I370" s="40"/>
      <c r="J370" s="40"/>
      <c r="K370" s="40"/>
    </row>
    <row r="371" spans="3:11" customFormat="1" ht="15" hidden="1" customHeight="1">
      <c r="C371" s="40"/>
      <c r="D371" s="40"/>
      <c r="E371" s="40"/>
      <c r="F371" s="16" t="s">
        <v>857</v>
      </c>
      <c r="G371" s="16" t="s">
        <v>858</v>
      </c>
      <c r="H371" s="40"/>
      <c r="I371" s="40"/>
      <c r="J371" s="40"/>
      <c r="K371" s="40"/>
    </row>
    <row r="372" spans="3:11" customFormat="1" ht="15" hidden="1" customHeight="1">
      <c r="C372" s="40"/>
      <c r="D372" s="40"/>
      <c r="E372" s="40"/>
      <c r="F372" s="16" t="s">
        <v>859</v>
      </c>
      <c r="G372" s="16" t="s">
        <v>860</v>
      </c>
      <c r="H372" s="40"/>
      <c r="I372" s="40"/>
      <c r="J372" s="40"/>
      <c r="K372" s="40"/>
    </row>
    <row r="373" spans="3:11" customFormat="1" ht="15" hidden="1" customHeight="1">
      <c r="C373" s="40"/>
      <c r="D373" s="40"/>
      <c r="E373" s="40"/>
      <c r="F373" s="16" t="s">
        <v>861</v>
      </c>
      <c r="G373" s="16" t="s">
        <v>862</v>
      </c>
      <c r="H373" s="40"/>
      <c r="I373" s="40"/>
      <c r="J373" s="40"/>
      <c r="K373" s="40"/>
    </row>
    <row r="374" spans="3:11" customFormat="1" ht="15" hidden="1" customHeight="1">
      <c r="C374" s="40"/>
      <c r="D374" s="40"/>
      <c r="E374" s="40"/>
      <c r="F374" s="16" t="s">
        <v>863</v>
      </c>
      <c r="G374" s="16" t="s">
        <v>864</v>
      </c>
      <c r="H374" s="40"/>
      <c r="I374" s="40"/>
      <c r="J374" s="40"/>
      <c r="K374" s="40"/>
    </row>
    <row r="375" spans="3:11" customFormat="1" ht="15" hidden="1" customHeight="1">
      <c r="C375" s="40"/>
      <c r="D375" s="40"/>
      <c r="E375" s="40"/>
      <c r="F375" s="16" t="s">
        <v>865</v>
      </c>
      <c r="G375" s="16" t="s">
        <v>866</v>
      </c>
      <c r="H375" s="40"/>
      <c r="I375" s="40"/>
      <c r="J375" s="40"/>
      <c r="K375" s="40"/>
    </row>
    <row r="376" spans="3:11" customFormat="1" ht="15" hidden="1" customHeight="1">
      <c r="C376" s="40"/>
      <c r="D376" s="40"/>
      <c r="E376" s="40"/>
      <c r="F376" s="16" t="s">
        <v>867</v>
      </c>
      <c r="G376" s="16" t="s">
        <v>868</v>
      </c>
      <c r="H376" s="40"/>
      <c r="I376" s="40"/>
      <c r="J376" s="40"/>
      <c r="K376" s="40"/>
    </row>
    <row r="377" spans="3:11" customFormat="1" ht="15" hidden="1" customHeight="1">
      <c r="C377" s="40"/>
      <c r="D377" s="40"/>
      <c r="E377" s="40"/>
      <c r="F377" s="16" t="s">
        <v>869</v>
      </c>
      <c r="G377" s="16" t="s">
        <v>870</v>
      </c>
      <c r="H377" s="40"/>
      <c r="I377" s="40"/>
      <c r="J377" s="40"/>
      <c r="K377" s="40"/>
    </row>
    <row r="378" spans="3:11" customFormat="1" ht="15" hidden="1" customHeight="1">
      <c r="C378" s="40"/>
      <c r="D378" s="40"/>
      <c r="E378" s="40"/>
      <c r="F378" s="16" t="s">
        <v>871</v>
      </c>
      <c r="G378" s="16" t="s">
        <v>872</v>
      </c>
      <c r="H378" s="40"/>
      <c r="I378" s="40"/>
      <c r="J378" s="40"/>
      <c r="K378" s="40"/>
    </row>
    <row r="379" spans="3:11" customFormat="1" ht="15" hidden="1" customHeight="1">
      <c r="C379" s="40"/>
      <c r="D379" s="40"/>
      <c r="E379" s="40"/>
      <c r="F379" s="16" t="s">
        <v>873</v>
      </c>
      <c r="G379" s="16" t="s">
        <v>874</v>
      </c>
      <c r="H379" s="40"/>
      <c r="I379" s="40"/>
      <c r="J379" s="40"/>
      <c r="K379" s="40"/>
    </row>
    <row r="380" spans="3:11" customFormat="1" ht="15" hidden="1" customHeight="1">
      <c r="C380" s="40"/>
      <c r="D380" s="40"/>
      <c r="E380" s="40"/>
      <c r="F380" s="16" t="s">
        <v>875</v>
      </c>
      <c r="G380" s="16" t="s">
        <v>876</v>
      </c>
      <c r="H380" s="40"/>
      <c r="I380" s="40"/>
      <c r="J380" s="40"/>
      <c r="K380" s="40"/>
    </row>
    <row r="381" spans="3:11" customFormat="1" ht="15" hidden="1" customHeight="1">
      <c r="C381" s="40"/>
      <c r="D381" s="40"/>
      <c r="E381" s="40"/>
      <c r="F381" s="16" t="s">
        <v>877</v>
      </c>
      <c r="G381" s="16" t="s">
        <v>878</v>
      </c>
      <c r="H381" s="40"/>
      <c r="I381" s="40"/>
      <c r="J381" s="40"/>
      <c r="K381" s="40"/>
    </row>
    <row r="382" spans="3:11" customFormat="1" ht="15" hidden="1" customHeight="1">
      <c r="C382" s="40"/>
      <c r="D382" s="40"/>
      <c r="E382" s="40"/>
      <c r="F382" s="16" t="s">
        <v>879</v>
      </c>
      <c r="G382" s="16" t="s">
        <v>880</v>
      </c>
      <c r="H382" s="40"/>
      <c r="I382" s="40"/>
      <c r="J382" s="40"/>
      <c r="K382" s="40"/>
    </row>
    <row r="383" spans="3:11" customFormat="1" ht="15" hidden="1" customHeight="1">
      <c r="C383" s="40"/>
      <c r="D383" s="40"/>
      <c r="E383" s="40"/>
      <c r="F383" s="16" t="s">
        <v>881</v>
      </c>
      <c r="G383" s="16" t="s">
        <v>882</v>
      </c>
      <c r="H383" s="40"/>
      <c r="I383" s="40"/>
      <c r="J383" s="40"/>
      <c r="K383" s="40"/>
    </row>
    <row r="384" spans="3:11" customFormat="1" ht="15" hidden="1" customHeight="1">
      <c r="C384" s="40"/>
      <c r="D384" s="40"/>
      <c r="E384" s="40"/>
      <c r="F384" s="16" t="s">
        <v>883</v>
      </c>
      <c r="G384" s="16" t="s">
        <v>884</v>
      </c>
      <c r="H384" s="40"/>
      <c r="I384" s="40"/>
      <c r="J384" s="40"/>
      <c r="K384" s="40"/>
    </row>
    <row r="385" spans="3:11" customFormat="1" ht="15" hidden="1" customHeight="1">
      <c r="C385" s="40"/>
      <c r="D385" s="40"/>
      <c r="E385" s="40"/>
      <c r="F385" s="16" t="s">
        <v>885</v>
      </c>
      <c r="G385" s="16" t="s">
        <v>886</v>
      </c>
      <c r="H385" s="40"/>
      <c r="I385" s="40"/>
      <c r="J385" s="40"/>
      <c r="K385" s="40"/>
    </row>
    <row r="386" spans="3:11" customFormat="1" ht="15" hidden="1" customHeight="1">
      <c r="C386" s="40"/>
      <c r="D386" s="40"/>
      <c r="E386" s="40"/>
      <c r="F386" s="40"/>
      <c r="G386" s="40"/>
      <c r="H386" s="40"/>
      <c r="I386" s="40"/>
      <c r="J386" s="40"/>
      <c r="K386" s="40"/>
    </row>
    <row r="387" spans="3:11" customFormat="1" ht="15" hidden="1" customHeight="1">
      <c r="C387" s="40"/>
      <c r="D387" s="40"/>
      <c r="E387" s="40"/>
      <c r="F387" s="40"/>
      <c r="G387" s="40"/>
      <c r="H387" s="40"/>
      <c r="I387" s="40"/>
      <c r="J387" s="40"/>
      <c r="K387" s="40"/>
    </row>
    <row r="388" spans="3:11" customFormat="1" ht="15" hidden="1" customHeight="1">
      <c r="C388" s="40"/>
      <c r="D388" s="40"/>
      <c r="E388" s="40"/>
      <c r="F388" s="40"/>
      <c r="G388" s="40"/>
      <c r="H388" s="40"/>
      <c r="I388" s="40"/>
      <c r="J388" s="40"/>
      <c r="K388" s="40"/>
    </row>
    <row r="389" spans="3:11" customFormat="1" ht="15" hidden="1" customHeight="1">
      <c r="C389" s="40"/>
      <c r="D389" s="40"/>
      <c r="E389" s="40"/>
      <c r="F389" s="40"/>
      <c r="G389" s="40"/>
      <c r="H389" s="40"/>
      <c r="I389" s="40"/>
      <c r="J389" s="40"/>
      <c r="K389" s="40"/>
    </row>
    <row r="390" spans="3:11" customFormat="1" ht="15" hidden="1" customHeight="1">
      <c r="C390" s="40"/>
      <c r="D390" s="40"/>
      <c r="E390" s="40"/>
      <c r="F390" s="40"/>
      <c r="G390" s="40"/>
      <c r="H390" s="40"/>
      <c r="I390" s="40"/>
      <c r="J390" s="40"/>
      <c r="K390" s="40"/>
    </row>
    <row r="391" spans="3:11" customFormat="1" ht="15" hidden="1" customHeight="1">
      <c r="C391" s="40"/>
      <c r="D391" s="40"/>
      <c r="E391" s="40"/>
      <c r="F391" s="40"/>
      <c r="G391" s="40"/>
      <c r="H391" s="40"/>
      <c r="I391" s="40"/>
      <c r="J391" s="40"/>
      <c r="K391" s="40"/>
    </row>
    <row r="392" spans="3:11" customFormat="1" ht="15" hidden="1" customHeight="1">
      <c r="C392" s="40"/>
      <c r="D392" s="40"/>
      <c r="E392" s="40"/>
      <c r="F392" s="40"/>
      <c r="G392" s="40"/>
      <c r="H392" s="40"/>
      <c r="I392" s="40"/>
      <c r="J392" s="40"/>
      <c r="K392" s="40"/>
    </row>
    <row r="393" spans="3:11" customFormat="1" ht="15" hidden="1" customHeight="1">
      <c r="C393" s="40"/>
      <c r="D393" s="40"/>
      <c r="E393" s="40"/>
      <c r="F393" s="40"/>
      <c r="G393" s="40"/>
      <c r="H393" s="40"/>
      <c r="I393" s="40"/>
      <c r="J393" s="40"/>
      <c r="K393" s="40"/>
    </row>
    <row r="394" spans="3:11" customFormat="1" ht="15" hidden="1" customHeight="1">
      <c r="C394" s="40"/>
      <c r="D394" s="40"/>
      <c r="E394" s="40"/>
      <c r="F394" s="40"/>
      <c r="G394" s="40"/>
      <c r="H394" s="40"/>
      <c r="I394" s="40"/>
      <c r="J394" s="40"/>
      <c r="K394" s="40"/>
    </row>
    <row r="395" spans="3:11" customFormat="1" ht="15" hidden="1" customHeight="1">
      <c r="C395" s="40"/>
      <c r="D395" s="40"/>
      <c r="E395" s="40"/>
      <c r="F395" s="40"/>
      <c r="G395" s="40"/>
      <c r="H395" s="40"/>
      <c r="I395" s="40"/>
      <c r="J395" s="40"/>
      <c r="K395" s="40"/>
    </row>
    <row r="396" spans="3:11" customFormat="1" ht="15" hidden="1" customHeight="1">
      <c r="C396" s="40"/>
      <c r="D396" s="40"/>
      <c r="E396" s="40"/>
      <c r="F396" s="40"/>
      <c r="G396" s="40"/>
      <c r="H396" s="40"/>
      <c r="I396" s="40"/>
      <c r="J396" s="40"/>
      <c r="K396" s="40"/>
    </row>
    <row r="397" spans="3:11" customFormat="1" ht="15" hidden="1" customHeight="1">
      <c r="C397" s="40"/>
      <c r="D397" s="40"/>
      <c r="E397" s="40"/>
      <c r="F397" s="40"/>
      <c r="G397" s="40"/>
      <c r="H397" s="40"/>
      <c r="I397" s="40"/>
      <c r="J397" s="40"/>
      <c r="K397" s="40"/>
    </row>
    <row r="398" spans="3:11" customFormat="1" ht="15" hidden="1" customHeight="1">
      <c r="C398" s="40"/>
      <c r="D398" s="40"/>
      <c r="E398" s="40"/>
      <c r="F398" s="40"/>
      <c r="G398" s="40"/>
      <c r="H398" s="40"/>
      <c r="I398" s="40"/>
      <c r="J398" s="40"/>
      <c r="K398" s="40"/>
    </row>
    <row r="399" spans="3:11" customFormat="1" ht="15" hidden="1" customHeight="1">
      <c r="C399" s="40"/>
      <c r="D399" s="40"/>
      <c r="E399" s="40"/>
      <c r="F399" s="40"/>
      <c r="G399" s="40"/>
      <c r="H399" s="40"/>
      <c r="I399" s="40"/>
      <c r="J399" s="40"/>
      <c r="K399" s="40"/>
    </row>
    <row r="400" spans="3:11" customFormat="1" ht="15" hidden="1" customHeight="1">
      <c r="C400" s="40"/>
      <c r="D400" s="40"/>
      <c r="H400" s="40"/>
      <c r="I400" s="40"/>
      <c r="J400" s="40"/>
      <c r="K400" s="40"/>
    </row>
    <row r="401" spans="3:20" customFormat="1" ht="15" hidden="1" customHeight="1">
      <c r="C401" s="40"/>
      <c r="D401" s="40"/>
      <c r="H401" s="40"/>
      <c r="I401" s="40"/>
      <c r="J401" s="40"/>
      <c r="K401" s="40"/>
    </row>
    <row r="402" spans="3:20" customFormat="1" ht="15" hidden="1" customHeight="1">
      <c r="C402" s="40"/>
      <c r="D402" s="40"/>
      <c r="H402" s="40"/>
      <c r="I402" s="40"/>
      <c r="J402" s="40"/>
      <c r="K402" s="40"/>
    </row>
    <row r="403" spans="3:20" customFormat="1" ht="15" hidden="1" customHeight="1">
      <c r="C403" s="40"/>
      <c r="D403" s="40"/>
      <c r="H403" s="40"/>
      <c r="I403" s="40"/>
      <c r="J403" s="40"/>
      <c r="K403" s="40"/>
    </row>
    <row r="404" spans="3:20" customFormat="1" ht="15" hidden="1" customHeight="1">
      <c r="C404" s="40"/>
      <c r="D404" s="40"/>
      <c r="H404" s="40"/>
      <c r="I404" s="40"/>
      <c r="J404" s="40"/>
      <c r="K404" s="40"/>
    </row>
    <row r="405" spans="3:20" customFormat="1" ht="15" hidden="1" customHeight="1">
      <c r="C405" s="40"/>
      <c r="D405" s="40"/>
      <c r="H405" s="40"/>
      <c r="I405" s="40"/>
      <c r="J405" s="40"/>
      <c r="K405" s="40"/>
    </row>
    <row r="406" spans="3:20" customFormat="1" ht="15" hidden="1" customHeight="1">
      <c r="C406" s="40"/>
      <c r="D406" s="40"/>
      <c r="H406" s="40"/>
      <c r="I406" s="40"/>
      <c r="J406" s="40"/>
      <c r="K406" s="40"/>
    </row>
    <row r="407" spans="3:20" customFormat="1" ht="15" customHeight="1" thickTop="1">
      <c r="C407" s="40"/>
      <c r="D407" s="40"/>
      <c r="H407" s="40"/>
      <c r="I407" s="40"/>
      <c r="J407" s="40"/>
      <c r="K407" s="40"/>
    </row>
    <row r="408" spans="3:20" customFormat="1" ht="15" customHeight="1" thickBot="1">
      <c r="C408" s="40"/>
      <c r="D408" s="40"/>
      <c r="K408" s="40"/>
    </row>
    <row r="409" spans="3:20" customFormat="1" ht="15" customHeight="1" thickTop="1">
      <c r="C409" s="40"/>
      <c r="D409" s="40"/>
      <c r="F409" s="90" t="s">
        <v>887</v>
      </c>
      <c r="G409" s="91" t="s">
        <v>888</v>
      </c>
    </row>
    <row r="410" spans="3:20" customFormat="1" ht="15" customHeight="1">
      <c r="C410" s="40"/>
      <c r="D410" s="40"/>
      <c r="F410" s="92" t="s">
        <v>14</v>
      </c>
      <c r="G410" s="93" t="s">
        <v>15</v>
      </c>
    </row>
    <row r="411" spans="3:20" customFormat="1" ht="15" customHeight="1">
      <c r="C411" s="40"/>
      <c r="D411" s="40"/>
      <c r="F411" s="94" t="s">
        <v>270</v>
      </c>
      <c r="G411" s="95" t="s">
        <v>889</v>
      </c>
    </row>
    <row r="412" spans="3:20" customFormat="1" ht="15" customHeight="1">
      <c r="C412" s="40"/>
      <c r="D412" s="40"/>
      <c r="F412" s="94" t="s">
        <v>274</v>
      </c>
      <c r="G412" s="95" t="s">
        <v>267</v>
      </c>
    </row>
    <row r="413" spans="3:20" customFormat="1" ht="15" customHeight="1">
      <c r="C413" s="40"/>
      <c r="D413" s="40"/>
      <c r="F413" s="94" t="s">
        <v>275</v>
      </c>
      <c r="G413" s="95" t="s">
        <v>890</v>
      </c>
    </row>
    <row r="414" spans="3:20" customFormat="1" ht="15" customHeight="1">
      <c r="C414" s="40"/>
      <c r="D414" s="40"/>
      <c r="F414" s="94" t="s">
        <v>891</v>
      </c>
      <c r="G414" s="95" t="s">
        <v>892</v>
      </c>
      <c r="S414" s="70" t="s">
        <v>893</v>
      </c>
      <c r="T414" s="70" t="s">
        <v>894</v>
      </c>
    </row>
    <row r="415" spans="3:20" customFormat="1" ht="15" customHeight="1">
      <c r="C415" s="40"/>
      <c r="D415" s="40"/>
      <c r="F415" s="94" t="s">
        <v>895</v>
      </c>
      <c r="G415" s="95" t="s">
        <v>896</v>
      </c>
      <c r="S415" s="18" t="s">
        <v>14</v>
      </c>
      <c r="T415" s="18" t="s">
        <v>15</v>
      </c>
    </row>
    <row r="416" spans="3:20" customFormat="1" ht="15" customHeight="1" thickBot="1">
      <c r="C416" s="40"/>
      <c r="D416" s="40"/>
      <c r="F416" s="98" t="s">
        <v>897</v>
      </c>
      <c r="G416" s="99" t="s">
        <v>898</v>
      </c>
      <c r="S416" s="8" t="s">
        <v>266</v>
      </c>
      <c r="T416" s="42" t="s">
        <v>267</v>
      </c>
    </row>
    <row r="417" spans="3:20" customFormat="1" ht="15" customHeight="1" thickTop="1">
      <c r="C417" s="40"/>
      <c r="D417" s="40"/>
      <c r="S417" s="8" t="s">
        <v>270</v>
      </c>
      <c r="T417" s="42" t="s">
        <v>745</v>
      </c>
    </row>
    <row r="418" spans="3:20" customFormat="1" ht="15" customHeight="1">
      <c r="C418" s="40"/>
      <c r="D418" s="40"/>
      <c r="S418" s="26" t="s">
        <v>275</v>
      </c>
      <c r="T418" s="26" t="s">
        <v>276</v>
      </c>
    </row>
    <row r="419" spans="3:20" customFormat="1" ht="15" customHeight="1">
      <c r="C419" s="40"/>
      <c r="D419" s="40"/>
      <c r="S419" s="8" t="s">
        <v>122</v>
      </c>
      <c r="T419" s="26" t="s">
        <v>123</v>
      </c>
    </row>
    <row r="420" spans="3:20" customFormat="1" ht="15" customHeight="1">
      <c r="S420" s="8" t="s">
        <v>899</v>
      </c>
      <c r="T420" s="8" t="s">
        <v>900</v>
      </c>
    </row>
    <row r="421" spans="3:20" customFormat="1" ht="15" customHeight="1">
      <c r="S421" s="8" t="s">
        <v>901</v>
      </c>
      <c r="T421" s="8" t="s">
        <v>902</v>
      </c>
    </row>
    <row r="422" spans="3:20" customFormat="1" ht="15" customHeight="1">
      <c r="S422" s="8" t="s">
        <v>903</v>
      </c>
      <c r="T422" s="8" t="s">
        <v>904</v>
      </c>
    </row>
    <row r="423" spans="3:20" customFormat="1" ht="15" customHeight="1">
      <c r="C423" s="40"/>
      <c r="D423" s="40"/>
      <c r="E423" s="40"/>
      <c r="F423" s="40"/>
      <c r="G423" s="40"/>
      <c r="H423" s="40"/>
      <c r="I423" s="40"/>
      <c r="J423" s="40"/>
      <c r="K423" s="40"/>
      <c r="S423" s="8" t="s">
        <v>905</v>
      </c>
      <c r="T423" s="8" t="s">
        <v>906</v>
      </c>
    </row>
    <row r="424" spans="3:20" customFormat="1" ht="15" customHeight="1">
      <c r="C424" s="40"/>
      <c r="D424" s="40"/>
      <c r="E424" s="40"/>
      <c r="F424" s="41"/>
      <c r="G424" s="41"/>
      <c r="H424" s="40"/>
      <c r="I424" s="41"/>
      <c r="J424" s="41"/>
      <c r="K424" s="40"/>
      <c r="S424" s="8" t="s">
        <v>907</v>
      </c>
      <c r="T424" s="8" t="s">
        <v>908</v>
      </c>
    </row>
    <row r="425" spans="3:20" customFormat="1" ht="15" customHeight="1">
      <c r="C425" s="40"/>
      <c r="D425" s="40"/>
      <c r="E425" s="40"/>
      <c r="F425" s="41"/>
      <c r="G425" s="41"/>
      <c r="H425" s="40"/>
      <c r="I425" s="41"/>
      <c r="J425" s="41"/>
      <c r="K425" s="40"/>
      <c r="S425" s="15" t="s">
        <v>909</v>
      </c>
      <c r="T425" s="8" t="s">
        <v>910</v>
      </c>
    </row>
    <row r="426" spans="3:20" customFormat="1" ht="15" customHeight="1">
      <c r="C426" s="40"/>
      <c r="D426" s="40"/>
      <c r="E426" s="40"/>
      <c r="F426" s="41"/>
      <c r="G426" s="41"/>
      <c r="H426" s="40"/>
      <c r="I426" s="41"/>
      <c r="J426" s="41"/>
      <c r="K426" s="40"/>
      <c r="S426" s="48" t="s">
        <v>911</v>
      </c>
      <c r="T426" s="8" t="s">
        <v>912</v>
      </c>
    </row>
    <row r="427" spans="3:20" customFormat="1" ht="15" customHeight="1">
      <c r="C427" s="40"/>
      <c r="D427" s="40"/>
      <c r="E427" s="40"/>
      <c r="F427" s="41"/>
      <c r="G427" s="41"/>
      <c r="H427" s="40"/>
      <c r="I427" s="41"/>
      <c r="J427" s="41"/>
      <c r="K427" s="40"/>
      <c r="S427" s="48" t="s">
        <v>913</v>
      </c>
      <c r="T427" s="8" t="s">
        <v>914</v>
      </c>
    </row>
    <row r="428" spans="3:20" customFormat="1" ht="15" customHeight="1">
      <c r="C428" s="40"/>
      <c r="D428" s="40"/>
      <c r="E428" s="40"/>
      <c r="F428" s="41"/>
      <c r="G428" s="41"/>
      <c r="H428" s="40"/>
      <c r="I428" s="41"/>
      <c r="J428" s="41"/>
      <c r="K428" s="40"/>
      <c r="S428" s="48" t="s">
        <v>915</v>
      </c>
      <c r="T428" s="8" t="s">
        <v>916</v>
      </c>
    </row>
    <row r="429" spans="3:20" customFormat="1" ht="15" customHeight="1">
      <c r="C429" s="40"/>
      <c r="D429" s="40"/>
      <c r="E429" s="40"/>
      <c r="F429" s="41"/>
      <c r="G429" s="41"/>
      <c r="H429" s="40"/>
      <c r="I429" s="41"/>
      <c r="J429" s="41"/>
      <c r="K429" s="40"/>
      <c r="S429" s="48" t="s">
        <v>917</v>
      </c>
      <c r="T429" s="8" t="s">
        <v>918</v>
      </c>
    </row>
    <row r="430" spans="3:20" customFormat="1" ht="15" customHeight="1">
      <c r="C430" s="40"/>
      <c r="D430" s="40"/>
      <c r="E430" s="40"/>
      <c r="F430" s="41"/>
      <c r="G430" s="41"/>
      <c r="H430" s="40"/>
      <c r="I430" s="41"/>
      <c r="J430" s="41"/>
      <c r="K430" s="40"/>
      <c r="S430" s="48" t="s">
        <v>919</v>
      </c>
      <c r="T430" s="8" t="s">
        <v>920</v>
      </c>
    </row>
    <row r="431" spans="3:20" customFormat="1" ht="15" customHeight="1">
      <c r="C431" s="40"/>
      <c r="D431" s="40"/>
      <c r="E431" s="40"/>
      <c r="F431" s="41"/>
      <c r="G431" s="41"/>
      <c r="H431" s="40"/>
      <c r="I431" s="41"/>
      <c r="J431" s="41"/>
      <c r="K431" s="40"/>
      <c r="S431" s="48" t="s">
        <v>921</v>
      </c>
      <c r="T431" s="8" t="s">
        <v>922</v>
      </c>
    </row>
    <row r="432" spans="3:20" customFormat="1" ht="15" customHeight="1">
      <c r="C432" s="40"/>
      <c r="D432" s="40"/>
      <c r="E432" s="40"/>
      <c r="F432" s="40"/>
      <c r="G432" s="40"/>
      <c r="H432" s="40"/>
      <c r="I432" s="40"/>
      <c r="J432" s="40"/>
      <c r="K432" s="40"/>
      <c r="S432" s="20" t="s">
        <v>27</v>
      </c>
      <c r="T432" s="20" t="s">
        <v>28</v>
      </c>
    </row>
    <row r="433" spans="3:20" customFormat="1" ht="15" customHeight="1">
      <c r="S433" s="20" t="s">
        <v>33</v>
      </c>
      <c r="T433" s="20" t="s">
        <v>34</v>
      </c>
    </row>
    <row r="434" spans="3:20" customFormat="1" ht="15" customHeight="1">
      <c r="C434" s="40"/>
      <c r="D434" s="40"/>
      <c r="E434" s="40"/>
      <c r="F434" s="40"/>
      <c r="G434" s="40"/>
      <c r="H434" s="40"/>
      <c r="I434" s="40"/>
      <c r="J434" s="40"/>
      <c r="K434" s="40"/>
      <c r="S434" s="20" t="s">
        <v>37</v>
      </c>
      <c r="T434" s="20" t="s">
        <v>38</v>
      </c>
    </row>
    <row r="435" spans="3:20" customFormat="1" ht="15" customHeight="1">
      <c r="S435" s="20" t="s">
        <v>43</v>
      </c>
      <c r="T435" s="20" t="s">
        <v>44</v>
      </c>
    </row>
    <row r="436" spans="3:20" customFormat="1" ht="15" customHeight="1"/>
    <row r="437" spans="3:20" customFormat="1" ht="15" customHeight="1"/>
    <row r="438" spans="3:20" customFormat="1" ht="15" customHeight="1"/>
    <row r="439" spans="3:20" customFormat="1" ht="15" customHeight="1"/>
    <row r="440" spans="3:20" customFormat="1" ht="15" customHeight="1"/>
    <row r="441" spans="3:20" customFormat="1" ht="15" customHeight="1"/>
    <row r="442" spans="3:20" customFormat="1" ht="15" customHeight="1"/>
    <row r="443" spans="3:20" customFormat="1" ht="15" customHeight="1"/>
    <row r="444" spans="3:20" customFormat="1" ht="15" customHeight="1"/>
    <row r="445" spans="3:20" customFormat="1" ht="15" customHeight="1"/>
    <row r="446" spans="3:20" customFormat="1" ht="15" customHeight="1"/>
    <row r="447" spans="3:20" customFormat="1" ht="15" customHeight="1"/>
    <row r="448" spans="3:20" customFormat="1" ht="15" customHeight="1"/>
    <row r="449" spans="34:35" customFormat="1" ht="15" customHeight="1"/>
    <row r="450" spans="34:35" customFormat="1" ht="15" customHeight="1"/>
    <row r="451" spans="34:35" customFormat="1" ht="15" customHeight="1"/>
    <row r="452" spans="34:35" customFormat="1" ht="15" customHeight="1"/>
    <row r="453" spans="34:35" customFormat="1" ht="15" customHeight="1"/>
    <row r="454" spans="34:35" ht="15" customHeight="1">
      <c r="AH454" s="41"/>
      <c r="AI454" s="41"/>
    </row>
    <row r="455" spans="34:35" ht="15" customHeight="1">
      <c r="AH455" s="41"/>
      <c r="AI455" s="41"/>
    </row>
    <row r="564" spans="3:13" ht="15" customHeight="1">
      <c r="C564"/>
      <c r="I564"/>
      <c r="J564"/>
      <c r="K564"/>
      <c r="L564"/>
      <c r="M564"/>
    </row>
    <row r="565" spans="3:13" ht="15" customHeight="1">
      <c r="C565"/>
      <c r="I565"/>
      <c r="J565"/>
      <c r="K565"/>
      <c r="L565"/>
      <c r="M565"/>
    </row>
    <row r="566" spans="3:13" ht="15" customHeight="1">
      <c r="C566"/>
      <c r="M566"/>
    </row>
    <row r="567" spans="3:13" ht="15" customHeight="1">
      <c r="C567"/>
      <c r="M567"/>
    </row>
    <row r="568" spans="3:13" ht="15" customHeight="1">
      <c r="C568"/>
      <c r="M568"/>
    </row>
    <row r="569" spans="3:13" ht="15" customHeight="1">
      <c r="C569"/>
      <c r="M569"/>
    </row>
    <row r="570" spans="3:13" ht="15" customHeight="1">
      <c r="C570"/>
      <c r="M570"/>
    </row>
    <row r="571" spans="3:13" ht="15" customHeight="1">
      <c r="C571"/>
      <c r="M571"/>
    </row>
    <row r="572" spans="3:13" ht="15" customHeight="1">
      <c r="C572"/>
      <c r="M572"/>
    </row>
    <row r="573" spans="3:13" ht="15" customHeight="1">
      <c r="C573"/>
      <c r="M573"/>
    </row>
    <row r="574" spans="3:13" ht="15" customHeight="1">
      <c r="C574"/>
      <c r="M574"/>
    </row>
    <row r="575" spans="3:13" ht="15" customHeight="1">
      <c r="C575"/>
      <c r="M575"/>
    </row>
    <row r="576" spans="3:13" ht="15" customHeight="1">
      <c r="C576"/>
      <c r="M576"/>
    </row>
    <row r="629" spans="64:64" ht="15" customHeight="1">
      <c r="BL629" s="65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92255-D727-46F4-B246-FCDAA3E220F4}">
  <sheetPr codeName="Sheet5">
    <tabColor rgb="FFFFC000"/>
  </sheetPr>
  <dimension ref="A1:S531"/>
  <sheetViews>
    <sheetView zoomScale="85" zoomScaleNormal="85" workbookViewId="0">
      <selection activeCell="F25" sqref="F25"/>
    </sheetView>
  </sheetViews>
  <sheetFormatPr defaultRowHeight="17.25" customHeight="1"/>
  <cols>
    <col min="1" max="1" width="9" style="112"/>
    <col min="2" max="2" width="16.5" style="118" bestFit="1" customWidth="1"/>
    <col min="3" max="3" width="17.5" style="118" bestFit="1" customWidth="1"/>
    <col min="4" max="4" width="17.5" style="118" customWidth="1"/>
    <col min="5" max="5" width="9" style="118"/>
    <col min="6" max="6" width="16.125" style="118" bestFit="1" customWidth="1"/>
    <col min="7" max="7" width="17.875" style="118" bestFit="1" customWidth="1"/>
    <col min="8" max="11" width="0" style="118" hidden="1" customWidth="1"/>
    <col min="12" max="12" width="10.875" style="118" bestFit="1" customWidth="1"/>
    <col min="13" max="13" width="9" style="118"/>
    <col min="14" max="14" width="28" style="118" bestFit="1" customWidth="1"/>
    <col min="15" max="15" width="19" style="118" bestFit="1" customWidth="1"/>
    <col min="16" max="16" width="20.875" style="112" bestFit="1" customWidth="1"/>
    <col min="17" max="19" width="9" style="112"/>
    <col min="22" max="22" width="13" bestFit="1" customWidth="1"/>
    <col min="23" max="23" width="11.875" bestFit="1" customWidth="1"/>
  </cols>
  <sheetData>
    <row r="1" spans="1:19" ht="17.25" customHeight="1">
      <c r="A1"/>
      <c r="B1" s="465" t="s">
        <v>923</v>
      </c>
      <c r="C1" s="466"/>
      <c r="D1" s="467"/>
      <c r="E1"/>
      <c r="F1" s="468" t="s">
        <v>924</v>
      </c>
      <c r="G1" s="469"/>
      <c r="H1" s="469"/>
      <c r="I1" s="469"/>
      <c r="J1" s="469"/>
      <c r="K1" s="469"/>
      <c r="L1" s="469"/>
      <c r="M1" s="469"/>
      <c r="N1" s="469"/>
      <c r="O1" s="469"/>
      <c r="P1" s="469"/>
      <c r="Q1"/>
      <c r="R1"/>
      <c r="S1"/>
    </row>
    <row r="2" spans="1:19" ht="17.25" customHeight="1">
      <c r="A2"/>
      <c r="B2" s="126" t="s">
        <v>925</v>
      </c>
      <c r="C2" s="126" t="s">
        <v>926</v>
      </c>
      <c r="D2" s="126" t="s">
        <v>927</v>
      </c>
      <c r="E2"/>
      <c r="F2" s="127" t="s">
        <v>14</v>
      </c>
      <c r="G2" s="127" t="s">
        <v>15</v>
      </c>
      <c r="H2" s="127" t="s">
        <v>928</v>
      </c>
      <c r="I2" s="127" t="s">
        <v>929</v>
      </c>
      <c r="J2" s="127" t="s">
        <v>930</v>
      </c>
      <c r="K2" s="127" t="s">
        <v>931</v>
      </c>
      <c r="L2" s="127" t="s">
        <v>932</v>
      </c>
      <c r="M2" s="127" t="s">
        <v>933</v>
      </c>
      <c r="N2" s="127" t="s">
        <v>934</v>
      </c>
      <c r="O2" s="127" t="s">
        <v>935</v>
      </c>
      <c r="P2" s="127" t="s">
        <v>936</v>
      </c>
      <c r="Q2"/>
      <c r="R2" s="41"/>
      <c r="S2"/>
    </row>
    <row r="3" spans="1:19" s="113" customFormat="1" ht="17.25" customHeight="1">
      <c r="A3" s="120"/>
      <c r="B3" s="121" t="s">
        <v>937</v>
      </c>
      <c r="C3" s="121" t="s">
        <v>938</v>
      </c>
      <c r="D3" s="121"/>
      <c r="E3" s="119"/>
      <c r="F3" s="122" t="s">
        <v>66</v>
      </c>
      <c r="G3" s="122" t="s">
        <v>939</v>
      </c>
      <c r="H3" s="122"/>
      <c r="I3" s="122"/>
      <c r="J3" s="122"/>
      <c r="K3" s="122"/>
      <c r="L3" s="122" t="s">
        <v>940</v>
      </c>
      <c r="M3" s="122"/>
      <c r="N3" s="122"/>
      <c r="O3" s="122"/>
      <c r="P3" s="122"/>
      <c r="Q3" s="120"/>
      <c r="R3" s="120"/>
      <c r="S3" s="120"/>
    </row>
    <row r="4" spans="1:19" s="113" customFormat="1" ht="17.25" customHeight="1">
      <c r="A4" s="120"/>
      <c r="B4" s="121" t="s">
        <v>941</v>
      </c>
      <c r="C4" s="121" t="s">
        <v>942</v>
      </c>
      <c r="D4" s="121"/>
      <c r="E4" s="119"/>
      <c r="F4" s="122" t="s">
        <v>943</v>
      </c>
      <c r="G4" s="122" t="s">
        <v>73</v>
      </c>
      <c r="H4" s="122"/>
      <c r="I4" s="122"/>
      <c r="J4" s="122"/>
      <c r="K4" s="122"/>
      <c r="L4" s="122" t="s">
        <v>944</v>
      </c>
      <c r="M4" s="122"/>
      <c r="N4" s="122"/>
      <c r="O4" s="122"/>
      <c r="P4" s="122"/>
      <c r="Q4" s="120"/>
      <c r="R4" s="120"/>
      <c r="S4" s="120"/>
    </row>
    <row r="5" spans="1:19" s="113" customFormat="1" ht="17.25" customHeight="1">
      <c r="A5" s="120"/>
      <c r="B5" s="121" t="s">
        <v>945</v>
      </c>
      <c r="C5" s="121" t="s">
        <v>946</v>
      </c>
      <c r="D5" s="121"/>
      <c r="E5" s="119"/>
      <c r="F5" s="122" t="s">
        <v>18</v>
      </c>
      <c r="G5" s="122" t="s">
        <v>19</v>
      </c>
      <c r="H5" s="122"/>
      <c r="I5" s="122"/>
      <c r="J5" s="122"/>
      <c r="K5" s="122"/>
      <c r="L5" s="122" t="s">
        <v>947</v>
      </c>
      <c r="M5" s="122">
        <v>10</v>
      </c>
      <c r="N5" s="122"/>
      <c r="O5" s="122"/>
      <c r="P5" s="122"/>
      <c r="Q5" s="120"/>
      <c r="R5" s="120"/>
      <c r="S5" s="120"/>
    </row>
    <row r="6" spans="1:19" s="113" customFormat="1" ht="17.25" customHeight="1">
      <c r="A6" s="120"/>
      <c r="B6" s="121" t="s">
        <v>948</v>
      </c>
      <c r="C6" s="121" t="s">
        <v>949</v>
      </c>
      <c r="D6" s="121"/>
      <c r="E6" s="119"/>
      <c r="F6" s="122" t="s">
        <v>950</v>
      </c>
      <c r="G6" s="122" t="s">
        <v>28</v>
      </c>
      <c r="H6" s="122"/>
      <c r="I6" s="122"/>
      <c r="J6" s="122"/>
      <c r="K6" s="122"/>
      <c r="L6" s="122" t="s">
        <v>951</v>
      </c>
      <c r="M6" s="122"/>
      <c r="N6" s="122"/>
      <c r="O6" s="122"/>
      <c r="P6" s="122"/>
      <c r="Q6" s="120"/>
      <c r="R6" s="120"/>
      <c r="S6" s="120"/>
    </row>
    <row r="7" spans="1:19" s="113" customFormat="1" ht="17.25" customHeight="1">
      <c r="A7" s="120"/>
      <c r="B7" s="121" t="s">
        <v>952</v>
      </c>
      <c r="C7" s="121" t="s">
        <v>953</v>
      </c>
      <c r="D7" s="121"/>
      <c r="E7" s="119"/>
      <c r="F7" s="122" t="s">
        <v>33</v>
      </c>
      <c r="G7" s="122" t="s">
        <v>34</v>
      </c>
      <c r="H7" s="122"/>
      <c r="I7" s="122"/>
      <c r="J7" s="122"/>
      <c r="K7" s="122"/>
      <c r="L7" s="122" t="s">
        <v>947</v>
      </c>
      <c r="M7" s="122"/>
      <c r="N7" s="122"/>
      <c r="O7" s="122"/>
      <c r="P7" s="122"/>
      <c r="Q7" s="120"/>
      <c r="R7" s="120"/>
      <c r="S7" s="120"/>
    </row>
    <row r="8" spans="1:19" s="113" customFormat="1" ht="17.25" customHeight="1">
      <c r="A8" s="120"/>
      <c r="B8" s="121" t="s">
        <v>954</v>
      </c>
      <c r="C8" s="121" t="s">
        <v>955</v>
      </c>
      <c r="D8" s="121"/>
      <c r="E8" s="119"/>
      <c r="F8" s="122" t="s">
        <v>37</v>
      </c>
      <c r="G8" s="122" t="s">
        <v>38</v>
      </c>
      <c r="H8" s="122"/>
      <c r="I8" s="122"/>
      <c r="J8" s="122"/>
      <c r="K8" s="122"/>
      <c r="L8" s="122" t="s">
        <v>951</v>
      </c>
      <c r="M8" s="122"/>
      <c r="N8" s="122"/>
      <c r="O8" s="122"/>
      <c r="P8" s="122"/>
      <c r="Q8" s="120"/>
      <c r="R8" s="120"/>
      <c r="S8" s="120"/>
    </row>
    <row r="9" spans="1:19" s="113" customFormat="1" ht="17.25" customHeight="1">
      <c r="A9" s="120"/>
      <c r="B9" s="121" t="s">
        <v>956</v>
      </c>
      <c r="C9" s="121" t="s">
        <v>957</v>
      </c>
      <c r="D9" s="121"/>
      <c r="E9" s="119"/>
      <c r="F9" s="122" t="s">
        <v>43</v>
      </c>
      <c r="G9" s="122" t="s">
        <v>44</v>
      </c>
      <c r="H9" s="122"/>
      <c r="I9" s="122"/>
      <c r="J9" s="122"/>
      <c r="K9" s="122"/>
      <c r="L9" s="122" t="s">
        <v>947</v>
      </c>
      <c r="M9" s="122"/>
      <c r="N9" s="122"/>
      <c r="O9" s="122"/>
      <c r="P9" s="122"/>
      <c r="Q9" s="120"/>
      <c r="R9" s="120"/>
      <c r="S9" s="120"/>
    </row>
    <row r="10" spans="1:19" s="113" customFormat="1" ht="17.25" customHeight="1">
      <c r="A10" s="120"/>
      <c r="B10" s="121" t="s">
        <v>958</v>
      </c>
      <c r="C10" s="121" t="s">
        <v>959</v>
      </c>
      <c r="D10" s="121" t="s">
        <v>960</v>
      </c>
      <c r="E10" s="119"/>
      <c r="F10" s="123" t="s">
        <v>16</v>
      </c>
      <c r="G10" s="122" t="s">
        <v>961</v>
      </c>
      <c r="H10" s="123"/>
      <c r="I10" s="123"/>
      <c r="J10" s="123"/>
      <c r="K10" s="123"/>
      <c r="L10" s="123" t="s">
        <v>17</v>
      </c>
      <c r="M10" s="123"/>
      <c r="N10" s="122" t="s">
        <v>962</v>
      </c>
      <c r="O10" s="123"/>
      <c r="P10" s="123" t="s">
        <v>963</v>
      </c>
      <c r="Q10" s="120"/>
      <c r="R10" s="120"/>
      <c r="S10" s="120"/>
    </row>
    <row r="11" spans="1:19" s="113" customFormat="1" ht="17.25" customHeight="1">
      <c r="A11" s="120"/>
      <c r="B11" s="121" t="s">
        <v>964</v>
      </c>
      <c r="C11" s="121" t="s">
        <v>965</v>
      </c>
      <c r="D11" s="121" t="s">
        <v>966</v>
      </c>
      <c r="E11" s="119"/>
      <c r="F11" s="123" t="s">
        <v>22</v>
      </c>
      <c r="G11" s="122" t="s">
        <v>23</v>
      </c>
      <c r="H11" s="123"/>
      <c r="I11" s="123"/>
      <c r="J11" s="123"/>
      <c r="K11" s="123"/>
      <c r="L11" s="123" t="s">
        <v>967</v>
      </c>
      <c r="M11" s="123"/>
      <c r="N11" s="122" t="s">
        <v>968</v>
      </c>
      <c r="O11" s="123"/>
      <c r="P11" s="123" t="s">
        <v>963</v>
      </c>
      <c r="Q11" s="120"/>
      <c r="R11" s="120"/>
      <c r="S11" s="120"/>
    </row>
    <row r="12" spans="1:19" s="113" customFormat="1" ht="17.25" customHeight="1">
      <c r="A12" s="120"/>
      <c r="B12" s="121" t="s">
        <v>969</v>
      </c>
      <c r="C12" s="121" t="s">
        <v>970</v>
      </c>
      <c r="D12" s="121" t="s">
        <v>971</v>
      </c>
      <c r="E12" s="119"/>
      <c r="F12" s="123" t="s">
        <v>972</v>
      </c>
      <c r="G12" s="122" t="s">
        <v>973</v>
      </c>
      <c r="H12" s="123"/>
      <c r="I12" s="123"/>
      <c r="J12" s="123"/>
      <c r="K12" s="123"/>
      <c r="L12" s="123" t="s">
        <v>974</v>
      </c>
      <c r="M12" s="123"/>
      <c r="N12" s="123" t="s">
        <v>975</v>
      </c>
      <c r="O12" s="123"/>
      <c r="P12" s="123" t="s">
        <v>963</v>
      </c>
      <c r="Q12" s="120"/>
      <c r="R12" s="120"/>
      <c r="S12" s="120"/>
    </row>
    <row r="13" spans="1:19" s="113" customFormat="1" ht="17.25" customHeight="1">
      <c r="A13" s="120"/>
      <c r="B13" s="121" t="s">
        <v>976</v>
      </c>
      <c r="C13" s="121" t="s">
        <v>977</v>
      </c>
      <c r="D13" s="121"/>
      <c r="E13" s="119"/>
      <c r="F13" s="128" t="s">
        <v>35</v>
      </c>
      <c r="G13" s="123" t="s">
        <v>36</v>
      </c>
      <c r="H13" s="123"/>
      <c r="I13" s="123"/>
      <c r="J13" s="123"/>
      <c r="K13" s="123"/>
      <c r="L13" s="123" t="s">
        <v>947</v>
      </c>
      <c r="M13" s="123">
        <v>10</v>
      </c>
      <c r="N13" s="123" t="s">
        <v>978</v>
      </c>
      <c r="O13" s="123" t="s">
        <v>979</v>
      </c>
      <c r="P13" s="123" t="s">
        <v>963</v>
      </c>
      <c r="Q13" s="120"/>
      <c r="R13" s="120"/>
      <c r="S13" s="120"/>
    </row>
    <row r="14" spans="1:19" s="113" customFormat="1" ht="17.25" customHeight="1">
      <c r="A14" s="120"/>
      <c r="B14" s="121" t="s">
        <v>980</v>
      </c>
      <c r="C14" s="121" t="s">
        <v>981</v>
      </c>
      <c r="D14" s="121"/>
      <c r="E14" s="119"/>
      <c r="F14" s="123" t="s">
        <v>982</v>
      </c>
      <c r="G14" s="123" t="s">
        <v>983</v>
      </c>
      <c r="H14" s="123"/>
      <c r="I14" s="123"/>
      <c r="J14" s="123"/>
      <c r="K14" s="123"/>
      <c r="L14" s="123" t="s">
        <v>974</v>
      </c>
      <c r="M14" s="123"/>
      <c r="N14" s="123" t="s">
        <v>984</v>
      </c>
      <c r="O14" s="123" t="s">
        <v>985</v>
      </c>
      <c r="P14" s="123"/>
      <c r="Q14" s="120"/>
      <c r="R14" s="120"/>
      <c r="S14" s="120"/>
    </row>
    <row r="15" spans="1:19" s="113" customFormat="1" ht="17.25" customHeight="1">
      <c r="A15" s="120"/>
      <c r="B15" s="121" t="s">
        <v>986</v>
      </c>
      <c r="C15" s="121" t="s">
        <v>4</v>
      </c>
      <c r="D15" s="121" t="s">
        <v>987</v>
      </c>
      <c r="E15" s="119"/>
      <c r="F15" s="123" t="s">
        <v>988</v>
      </c>
      <c r="G15" s="122" t="s">
        <v>989</v>
      </c>
      <c r="H15" s="123"/>
      <c r="I15" s="123"/>
      <c r="J15" s="123"/>
      <c r="K15" s="123"/>
      <c r="L15" s="123" t="s">
        <v>940</v>
      </c>
      <c r="M15" s="123"/>
      <c r="N15" s="123" t="s">
        <v>990</v>
      </c>
      <c r="O15" s="123"/>
      <c r="P15" s="123"/>
      <c r="Q15" s="120"/>
      <c r="R15" s="120"/>
      <c r="S15" s="120"/>
    </row>
    <row r="16" spans="1:19" s="113" customFormat="1" ht="17.25" customHeight="1">
      <c r="A16" s="120"/>
      <c r="B16" s="121" t="s">
        <v>991</v>
      </c>
      <c r="C16" s="121" t="s">
        <v>950</v>
      </c>
      <c r="D16" s="121"/>
      <c r="E16" s="119"/>
      <c r="F16" s="128" t="s">
        <v>275</v>
      </c>
      <c r="G16" s="123" t="s">
        <v>992</v>
      </c>
      <c r="H16" s="123"/>
      <c r="I16" s="123"/>
      <c r="J16" s="123"/>
      <c r="K16" s="123"/>
      <c r="L16" s="123" t="s">
        <v>947</v>
      </c>
      <c r="M16" s="123">
        <v>20</v>
      </c>
      <c r="N16" s="122"/>
      <c r="O16" s="122"/>
      <c r="P16" s="122"/>
      <c r="Q16" s="120"/>
      <c r="R16" s="120"/>
      <c r="S16" s="120"/>
    </row>
    <row r="17" spans="1:19" s="113" customFormat="1" ht="17.25" customHeight="1">
      <c r="A17" s="120"/>
      <c r="B17" s="121" t="s">
        <v>993</v>
      </c>
      <c r="C17" s="121" t="s">
        <v>994</v>
      </c>
      <c r="D17" s="121"/>
      <c r="E17" s="119"/>
      <c r="F17" s="128" t="s">
        <v>995</v>
      </c>
      <c r="G17" s="123" t="s">
        <v>996</v>
      </c>
      <c r="H17" s="123"/>
      <c r="I17" s="123"/>
      <c r="J17" s="123"/>
      <c r="K17" s="123"/>
      <c r="L17" s="123" t="s">
        <v>947</v>
      </c>
      <c r="M17" s="123">
        <v>10</v>
      </c>
      <c r="N17" s="122"/>
      <c r="O17" s="123"/>
      <c r="P17" s="123"/>
      <c r="Q17" s="120"/>
      <c r="R17" s="120"/>
      <c r="S17" s="120"/>
    </row>
    <row r="18" spans="1:19" s="113" customFormat="1" ht="17.25" customHeight="1">
      <c r="A18" s="120"/>
      <c r="B18" s="121" t="s">
        <v>997</v>
      </c>
      <c r="C18" s="121" t="s">
        <v>998</v>
      </c>
      <c r="D18" s="121"/>
      <c r="E18" s="119"/>
      <c r="F18" s="128" t="s">
        <v>999</v>
      </c>
      <c r="G18" s="123" t="s">
        <v>1000</v>
      </c>
      <c r="H18" s="123"/>
      <c r="I18" s="123"/>
      <c r="J18" s="123"/>
      <c r="K18" s="123"/>
      <c r="L18" s="123" t="s">
        <v>947</v>
      </c>
      <c r="M18" s="123">
        <v>10</v>
      </c>
      <c r="N18" s="122"/>
      <c r="O18" s="123"/>
      <c r="P18" s="123"/>
      <c r="Q18" s="120"/>
      <c r="R18" s="120"/>
      <c r="S18" s="120"/>
    </row>
    <row r="19" spans="1:19" s="113" customFormat="1" ht="17.25" customHeight="1">
      <c r="A19" s="120"/>
      <c r="B19" s="121" t="s">
        <v>1001</v>
      </c>
      <c r="C19" s="121" t="s">
        <v>1002</v>
      </c>
      <c r="D19" s="121"/>
      <c r="E19" s="119"/>
      <c r="F19" s="128" t="s">
        <v>1003</v>
      </c>
      <c r="G19" s="123" t="s">
        <v>1004</v>
      </c>
      <c r="H19" s="123"/>
      <c r="I19" s="123"/>
      <c r="J19" s="123"/>
      <c r="K19" s="123"/>
      <c r="L19" s="123" t="s">
        <v>947</v>
      </c>
      <c r="M19" s="123">
        <v>8</v>
      </c>
      <c r="N19" s="122"/>
      <c r="O19" s="122"/>
      <c r="P19" s="122"/>
      <c r="Q19" s="120"/>
      <c r="R19" s="120"/>
      <c r="S19" s="120"/>
    </row>
    <row r="20" spans="1:19" s="113" customFormat="1" ht="17.25" customHeight="1">
      <c r="A20" s="120"/>
      <c r="B20" s="121" t="s">
        <v>1005</v>
      </c>
      <c r="C20" s="121" t="s">
        <v>1006</v>
      </c>
      <c r="D20" s="121" t="s">
        <v>1007</v>
      </c>
      <c r="E20" s="119"/>
      <c r="F20" s="122" t="s">
        <v>1008</v>
      </c>
      <c r="G20" s="123" t="s">
        <v>1009</v>
      </c>
      <c r="H20" s="122"/>
      <c r="I20" s="122"/>
      <c r="J20" s="122"/>
      <c r="K20" s="122"/>
      <c r="L20" s="123" t="s">
        <v>947</v>
      </c>
      <c r="M20" s="123">
        <v>300</v>
      </c>
      <c r="N20" s="122"/>
      <c r="O20" s="122"/>
      <c r="P20" s="122"/>
      <c r="Q20" s="120"/>
      <c r="R20" s="120"/>
      <c r="S20" s="120"/>
    </row>
    <row r="21" spans="1:19" s="113" customFormat="1" ht="17.25" customHeight="1">
      <c r="A21" s="120"/>
      <c r="B21" s="121" t="s">
        <v>1010</v>
      </c>
      <c r="C21" s="121" t="s">
        <v>1011</v>
      </c>
      <c r="D21" s="121" t="s">
        <v>1012</v>
      </c>
      <c r="E21" s="119"/>
      <c r="F21" s="122" t="s">
        <v>1013</v>
      </c>
      <c r="G21" s="123" t="s">
        <v>1014</v>
      </c>
      <c r="H21" s="122"/>
      <c r="I21" s="122"/>
      <c r="J21" s="122"/>
      <c r="K21" s="122"/>
      <c r="L21" s="123" t="s">
        <v>947</v>
      </c>
      <c r="M21" s="123">
        <v>20</v>
      </c>
      <c r="N21" s="122"/>
      <c r="O21" s="122"/>
      <c r="P21" s="122"/>
      <c r="Q21" s="120"/>
      <c r="R21" s="120"/>
      <c r="S21" s="120"/>
    </row>
    <row r="22" spans="1:19" s="113" customFormat="1" ht="17.25" customHeight="1">
      <c r="A22" s="120"/>
      <c r="B22" s="121" t="s">
        <v>1015</v>
      </c>
      <c r="C22" s="121" t="s">
        <v>6</v>
      </c>
      <c r="D22" s="121" t="s">
        <v>1016</v>
      </c>
      <c r="E22" s="119"/>
      <c r="F22" s="122" t="s">
        <v>1017</v>
      </c>
      <c r="G22" s="123" t="s">
        <v>1018</v>
      </c>
      <c r="H22" s="122"/>
      <c r="I22" s="122"/>
      <c r="J22" s="122"/>
      <c r="K22" s="122"/>
      <c r="L22" s="122" t="s">
        <v>1019</v>
      </c>
      <c r="M22" s="122"/>
      <c r="N22" s="122"/>
      <c r="O22" s="122"/>
      <c r="P22" s="122"/>
      <c r="Q22" s="120"/>
      <c r="R22" s="120"/>
      <c r="S22" s="120"/>
    </row>
    <row r="23" spans="1:19" s="113" customFormat="1" ht="17.25" customHeight="1">
      <c r="A23" s="120"/>
      <c r="B23" s="121" t="s">
        <v>1020</v>
      </c>
      <c r="C23" s="121" t="s">
        <v>1021</v>
      </c>
      <c r="D23" s="121"/>
      <c r="E23" s="119"/>
      <c r="F23" s="123" t="s">
        <v>41</v>
      </c>
      <c r="G23" s="123" t="s">
        <v>1022</v>
      </c>
      <c r="H23" s="123"/>
      <c r="I23" s="123"/>
      <c r="J23" s="123"/>
      <c r="K23" s="123"/>
      <c r="L23" s="123" t="s">
        <v>947</v>
      </c>
      <c r="M23" s="123">
        <v>10</v>
      </c>
      <c r="N23" s="122"/>
      <c r="O23" s="122"/>
      <c r="P23" s="122"/>
      <c r="Q23" s="120"/>
      <c r="R23" s="120"/>
      <c r="S23" s="120"/>
    </row>
    <row r="24" spans="1:19" s="113" customFormat="1" ht="17.25" customHeight="1">
      <c r="A24" s="120"/>
      <c r="B24" s="121" t="s">
        <v>1023</v>
      </c>
      <c r="C24" s="121" t="s">
        <v>1024</v>
      </c>
      <c r="D24" s="121" t="s">
        <v>1025</v>
      </c>
      <c r="E24" s="119"/>
      <c r="F24" s="123" t="s">
        <v>108</v>
      </c>
      <c r="G24" s="123" t="s">
        <v>1026</v>
      </c>
      <c r="H24" s="123"/>
      <c r="I24" s="123"/>
      <c r="J24" s="123"/>
      <c r="K24" s="123"/>
      <c r="L24" s="123" t="s">
        <v>1027</v>
      </c>
      <c r="M24" s="123"/>
      <c r="N24" s="122"/>
      <c r="O24" s="122"/>
      <c r="P24" s="122"/>
      <c r="Q24" s="120"/>
      <c r="R24" s="120"/>
      <c r="S24" s="120"/>
    </row>
    <row r="25" spans="1:19" s="113" customFormat="1" ht="17.25" customHeight="1">
      <c r="A25" s="120"/>
      <c r="B25" s="121" t="s">
        <v>1028</v>
      </c>
      <c r="C25" s="121" t="s">
        <v>1029</v>
      </c>
      <c r="D25" s="121" t="s">
        <v>1030</v>
      </c>
      <c r="E25" s="119"/>
      <c r="F25" s="123" t="s">
        <v>104</v>
      </c>
      <c r="G25" s="123" t="s">
        <v>1031</v>
      </c>
      <c r="H25" s="123"/>
      <c r="I25" s="123"/>
      <c r="J25" s="123"/>
      <c r="K25" s="123"/>
      <c r="L25" s="123" t="s">
        <v>1027</v>
      </c>
      <c r="M25" s="123"/>
      <c r="N25" s="122"/>
      <c r="O25" s="122"/>
      <c r="P25" s="122"/>
      <c r="Q25" s="120"/>
      <c r="R25" s="120"/>
      <c r="S25" s="120"/>
    </row>
    <row r="26" spans="1:19" s="113" customFormat="1" ht="17.25" customHeight="1">
      <c r="A26" s="120"/>
      <c r="B26" s="121" t="s">
        <v>1032</v>
      </c>
      <c r="C26" s="121" t="s">
        <v>1033</v>
      </c>
      <c r="D26" s="121" t="s">
        <v>1034</v>
      </c>
      <c r="E26" s="119"/>
      <c r="F26" s="121" t="s">
        <v>1035</v>
      </c>
      <c r="G26" s="121" t="s">
        <v>1036</v>
      </c>
      <c r="H26" s="122"/>
      <c r="I26" s="122"/>
      <c r="J26" s="122"/>
      <c r="K26" s="122"/>
      <c r="L26" s="122"/>
      <c r="M26" s="122"/>
      <c r="N26" s="122"/>
      <c r="O26" s="122"/>
      <c r="P26" s="122"/>
      <c r="Q26" s="120"/>
      <c r="R26" s="120"/>
      <c r="S26" s="120"/>
    </row>
    <row r="27" spans="1:19" s="113" customFormat="1" ht="17.25" customHeight="1">
      <c r="A27" s="120"/>
      <c r="B27" s="121" t="s">
        <v>1037</v>
      </c>
      <c r="C27" s="121" t="s">
        <v>1038</v>
      </c>
      <c r="D27" s="121" t="s">
        <v>1038</v>
      </c>
      <c r="E27" s="119"/>
      <c r="F27" s="123" t="s">
        <v>46</v>
      </c>
      <c r="G27" s="122" t="s">
        <v>1039</v>
      </c>
      <c r="H27" s="123"/>
      <c r="I27" s="123"/>
      <c r="J27" s="123"/>
      <c r="K27" s="123"/>
      <c r="L27" s="123" t="s">
        <v>947</v>
      </c>
      <c r="M27" s="123">
        <v>20</v>
      </c>
      <c r="N27" s="122"/>
      <c r="O27" s="122"/>
      <c r="P27" s="122"/>
      <c r="Q27" s="120"/>
      <c r="R27" s="120"/>
      <c r="S27" s="120"/>
    </row>
    <row r="28" spans="1:19" s="113" customFormat="1" ht="17.25" customHeight="1">
      <c r="A28" s="120"/>
      <c r="B28" s="121" t="s">
        <v>1040</v>
      </c>
      <c r="C28" s="121" t="s">
        <v>1041</v>
      </c>
      <c r="D28" s="121" t="s">
        <v>1042</v>
      </c>
      <c r="E28" s="119"/>
      <c r="F28" s="128" t="s">
        <v>1043</v>
      </c>
      <c r="G28" s="123" t="s">
        <v>1044</v>
      </c>
      <c r="H28" s="123"/>
      <c r="I28" s="123"/>
      <c r="J28" s="123"/>
      <c r="K28" s="123"/>
      <c r="L28" s="123" t="s">
        <v>947</v>
      </c>
      <c r="M28" s="123">
        <v>300</v>
      </c>
      <c r="N28" s="122"/>
      <c r="O28" s="122"/>
      <c r="P28" s="122"/>
      <c r="Q28" s="120"/>
      <c r="R28" s="120"/>
      <c r="S28" s="120"/>
    </row>
    <row r="29" spans="1:19" s="113" customFormat="1" ht="17.25" customHeight="1">
      <c r="A29" s="120"/>
      <c r="B29" s="121" t="s">
        <v>1045</v>
      </c>
      <c r="C29" s="121" t="s">
        <v>1046</v>
      </c>
      <c r="D29" s="121" t="s">
        <v>1047</v>
      </c>
      <c r="E29" s="119"/>
      <c r="F29" s="123" t="s">
        <v>1048</v>
      </c>
      <c r="G29" s="123" t="s">
        <v>1049</v>
      </c>
      <c r="H29" s="123"/>
      <c r="I29" s="123"/>
      <c r="J29" s="123"/>
      <c r="K29" s="123"/>
      <c r="L29" s="123" t="s">
        <v>947</v>
      </c>
      <c r="M29" s="123">
        <v>30</v>
      </c>
      <c r="N29" s="122"/>
      <c r="O29" s="122"/>
      <c r="P29" s="122"/>
      <c r="Q29" s="120"/>
      <c r="R29" s="120"/>
      <c r="S29" s="120"/>
    </row>
    <row r="30" spans="1:19" s="113" customFormat="1" ht="17.25" customHeight="1">
      <c r="A30" s="120"/>
      <c r="B30" s="121" t="s">
        <v>1050</v>
      </c>
      <c r="C30" s="121" t="s">
        <v>118</v>
      </c>
      <c r="D30" s="121" t="s">
        <v>1051</v>
      </c>
      <c r="E30" s="119"/>
      <c r="F30" s="123" t="s">
        <v>855</v>
      </c>
      <c r="G30" s="123" t="s">
        <v>1052</v>
      </c>
      <c r="H30" s="123"/>
      <c r="I30" s="123"/>
      <c r="J30" s="123"/>
      <c r="K30" s="123"/>
      <c r="L30" s="123" t="s">
        <v>1053</v>
      </c>
      <c r="M30" s="123" t="s">
        <v>1054</v>
      </c>
      <c r="N30" s="122"/>
      <c r="O30" s="122"/>
      <c r="P30" s="122"/>
      <c r="Q30" s="120"/>
      <c r="R30" s="120"/>
      <c r="S30" s="120"/>
    </row>
    <row r="31" spans="1:19" s="113" customFormat="1" ht="17.25" customHeight="1">
      <c r="A31" s="120"/>
      <c r="B31" s="121" t="s">
        <v>1055</v>
      </c>
      <c r="C31" s="121" t="s">
        <v>1056</v>
      </c>
      <c r="D31" s="121" t="s">
        <v>1057</v>
      </c>
      <c r="E31" s="119"/>
      <c r="F31" s="122" t="s">
        <v>1058</v>
      </c>
      <c r="G31" s="123" t="s">
        <v>1059</v>
      </c>
      <c r="H31" s="123"/>
      <c r="I31" s="123"/>
      <c r="J31" s="123"/>
      <c r="K31" s="123"/>
      <c r="L31" s="123" t="s">
        <v>1053</v>
      </c>
      <c r="M31" s="123" t="s">
        <v>1054</v>
      </c>
      <c r="N31" s="122"/>
      <c r="O31" s="122"/>
      <c r="P31" s="122"/>
      <c r="Q31" s="120"/>
      <c r="R31" s="120"/>
      <c r="S31" s="120"/>
    </row>
    <row r="32" spans="1:19" s="113" customFormat="1" ht="17.25" customHeight="1">
      <c r="A32" s="120"/>
      <c r="B32" s="121" t="s">
        <v>1060</v>
      </c>
      <c r="C32" s="121" t="s">
        <v>1061</v>
      </c>
      <c r="D32" s="121" t="s">
        <v>1062</v>
      </c>
      <c r="E32" s="119"/>
      <c r="F32" s="123" t="s">
        <v>1063</v>
      </c>
      <c r="G32" s="122" t="s">
        <v>1064</v>
      </c>
      <c r="H32" s="123" t="s">
        <v>1065</v>
      </c>
      <c r="I32" s="123"/>
      <c r="J32" s="123"/>
      <c r="K32" s="123"/>
      <c r="L32" s="123" t="s">
        <v>947</v>
      </c>
      <c r="M32" s="123">
        <v>20</v>
      </c>
      <c r="N32" s="122"/>
      <c r="O32" s="123">
        <v>90865</v>
      </c>
      <c r="P32" s="123"/>
      <c r="Q32" s="120"/>
      <c r="R32" s="120"/>
      <c r="S32" s="120"/>
    </row>
    <row r="33" spans="1:19" s="113" customFormat="1" ht="17.25" customHeight="1">
      <c r="A33" s="120"/>
      <c r="B33" s="121" t="s">
        <v>1066</v>
      </c>
      <c r="C33" s="121" t="s">
        <v>1067</v>
      </c>
      <c r="D33" s="121" t="s">
        <v>1068</v>
      </c>
      <c r="E33" s="119"/>
      <c r="F33" s="128" t="s">
        <v>762</v>
      </c>
      <c r="G33" s="123" t="s">
        <v>763</v>
      </c>
      <c r="H33" s="123"/>
      <c r="I33" s="123"/>
      <c r="J33" s="123"/>
      <c r="K33" s="123"/>
      <c r="L33" s="123" t="s">
        <v>947</v>
      </c>
      <c r="M33" s="123">
        <v>2</v>
      </c>
      <c r="N33" s="129" t="s">
        <v>1069</v>
      </c>
      <c r="O33" s="123" t="s">
        <v>1070</v>
      </c>
      <c r="P33" s="123"/>
      <c r="Q33" s="120"/>
      <c r="R33" s="120"/>
      <c r="S33" s="120"/>
    </row>
    <row r="34" spans="1:19" s="113" customFormat="1" ht="17.25" customHeight="1">
      <c r="A34" s="120"/>
      <c r="B34" s="121" t="s">
        <v>1071</v>
      </c>
      <c r="C34" s="121" t="s">
        <v>120</v>
      </c>
      <c r="D34" s="121"/>
      <c r="E34" s="119"/>
      <c r="F34" s="130" t="s">
        <v>20</v>
      </c>
      <c r="G34" s="131" t="s">
        <v>21</v>
      </c>
      <c r="H34" s="130" t="s">
        <v>1072</v>
      </c>
      <c r="I34" s="130" t="s">
        <v>1072</v>
      </c>
      <c r="J34" s="130" t="s">
        <v>1072</v>
      </c>
      <c r="K34" s="130" t="s">
        <v>1065</v>
      </c>
      <c r="L34" s="130" t="s">
        <v>947</v>
      </c>
      <c r="M34" s="133">
        <v>24</v>
      </c>
      <c r="N34" s="131" t="s">
        <v>1072</v>
      </c>
      <c r="O34" s="130" t="s">
        <v>1072</v>
      </c>
      <c r="P34" s="130"/>
      <c r="Q34" s="120"/>
      <c r="R34" s="120"/>
      <c r="S34" s="120"/>
    </row>
    <row r="35" spans="1:19" s="113" customFormat="1" ht="17.25" customHeight="1">
      <c r="A35" s="120"/>
      <c r="B35" s="121" t="s">
        <v>1073</v>
      </c>
      <c r="C35" s="121" t="s">
        <v>1074</v>
      </c>
      <c r="D35" s="121" t="s">
        <v>1075</v>
      </c>
      <c r="E35" s="119"/>
      <c r="F35" s="130" t="s">
        <v>270</v>
      </c>
      <c r="G35" s="130" t="s">
        <v>1076</v>
      </c>
      <c r="H35" s="130"/>
      <c r="I35" s="130"/>
      <c r="J35" s="130"/>
      <c r="K35" s="130"/>
      <c r="L35" s="130" t="s">
        <v>947</v>
      </c>
      <c r="M35" s="133">
        <v>4</v>
      </c>
      <c r="N35" s="132"/>
      <c r="O35" s="130"/>
      <c r="P35" s="130"/>
      <c r="Q35" s="120"/>
      <c r="R35" s="120"/>
      <c r="S35" s="120"/>
    </row>
    <row r="36" spans="1:19" s="113" customFormat="1" ht="17.25" customHeight="1">
      <c r="A36" s="120"/>
      <c r="B36" s="121" t="s">
        <v>1077</v>
      </c>
      <c r="C36" s="121" t="s">
        <v>1078</v>
      </c>
      <c r="D36" s="121" t="s">
        <v>1079</v>
      </c>
      <c r="E36" s="119"/>
      <c r="F36" s="122" t="s">
        <v>274</v>
      </c>
      <c r="G36" s="123" t="s">
        <v>1080</v>
      </c>
      <c r="H36" s="123"/>
      <c r="I36" s="123"/>
      <c r="J36" s="123"/>
      <c r="K36" s="123"/>
      <c r="L36" s="123" t="s">
        <v>947</v>
      </c>
      <c r="M36" s="122">
        <v>2</v>
      </c>
      <c r="N36" s="122"/>
      <c r="O36" s="122"/>
      <c r="P36" s="122"/>
      <c r="Q36" s="120"/>
      <c r="R36" s="120"/>
      <c r="S36" s="120"/>
    </row>
    <row r="37" spans="1:19" s="113" customFormat="1" ht="17.25" customHeight="1">
      <c r="A37" s="120"/>
      <c r="B37" s="121" t="s">
        <v>1081</v>
      </c>
      <c r="C37" s="121" t="s">
        <v>1082</v>
      </c>
      <c r="D37" s="121"/>
      <c r="E37" s="119"/>
      <c r="F37" s="122"/>
      <c r="G37" s="123"/>
      <c r="H37" s="123"/>
      <c r="I37" s="123"/>
      <c r="J37" s="123"/>
      <c r="K37" s="123"/>
      <c r="L37" s="123"/>
      <c r="M37" s="122"/>
      <c r="N37" s="122"/>
      <c r="O37" s="122"/>
      <c r="P37" s="122"/>
      <c r="Q37" s="120"/>
      <c r="R37" s="120"/>
      <c r="S37" s="120"/>
    </row>
    <row r="38" spans="1:19" s="113" customFormat="1" ht="17.25" customHeight="1">
      <c r="A38" s="120"/>
      <c r="B38" s="121" t="s">
        <v>1083</v>
      </c>
      <c r="C38" s="121" t="s">
        <v>1084</v>
      </c>
      <c r="D38" s="121" t="s">
        <v>1085</v>
      </c>
      <c r="E38" s="119"/>
      <c r="F38" s="122"/>
      <c r="G38" s="123"/>
      <c r="H38" s="123"/>
      <c r="I38" s="123"/>
      <c r="J38" s="123"/>
      <c r="K38" s="123"/>
      <c r="L38" s="123"/>
      <c r="M38" s="122"/>
      <c r="N38" s="122"/>
      <c r="O38" s="122"/>
      <c r="P38" s="122"/>
      <c r="Q38" s="120"/>
      <c r="R38" s="120"/>
      <c r="S38" s="120"/>
    </row>
    <row r="39" spans="1:19" s="113" customFormat="1" ht="17.25" customHeight="1">
      <c r="A39" s="120"/>
      <c r="B39" s="121" t="s">
        <v>1086</v>
      </c>
      <c r="C39" s="121" t="s">
        <v>1087</v>
      </c>
      <c r="D39" s="121" t="s">
        <v>1088</v>
      </c>
      <c r="E39" s="119"/>
      <c r="F39" s="122"/>
      <c r="G39" s="123"/>
      <c r="H39" s="122"/>
      <c r="I39" s="122"/>
      <c r="J39" s="122"/>
      <c r="K39" s="122"/>
      <c r="L39" s="122"/>
      <c r="M39" s="122"/>
      <c r="N39" s="122"/>
      <c r="O39" s="122"/>
      <c r="P39" s="122"/>
      <c r="Q39" s="120"/>
      <c r="R39" s="120"/>
      <c r="S39" s="120"/>
    </row>
    <row r="40" spans="1:19" s="113" customFormat="1" ht="17.25" customHeight="1">
      <c r="A40" s="120"/>
      <c r="B40" s="122" t="s">
        <v>1089</v>
      </c>
      <c r="C40" s="122" t="s">
        <v>1090</v>
      </c>
      <c r="D40" s="123" t="s">
        <v>1091</v>
      </c>
      <c r="E40" s="119"/>
      <c r="F40" s="122"/>
      <c r="G40" s="123"/>
      <c r="H40" s="122"/>
      <c r="I40" s="122"/>
      <c r="J40" s="122"/>
      <c r="K40" s="122"/>
      <c r="L40" s="122"/>
      <c r="M40" s="122"/>
      <c r="N40" s="122"/>
      <c r="O40" s="122"/>
      <c r="P40" s="122"/>
      <c r="Q40" s="120"/>
      <c r="R40" s="120"/>
      <c r="S40" s="120"/>
    </row>
    <row r="41" spans="1:19" s="113" customFormat="1" ht="17.25" customHeight="1">
      <c r="A41" s="120"/>
      <c r="B41" s="121" t="s">
        <v>1092</v>
      </c>
      <c r="C41" s="121" t="s">
        <v>1093</v>
      </c>
      <c r="D41" s="121"/>
      <c r="E41" s="119"/>
      <c r="F41" s="122"/>
      <c r="G41" s="123"/>
      <c r="H41" s="122"/>
      <c r="I41" s="122"/>
      <c r="J41" s="122"/>
      <c r="K41" s="122"/>
      <c r="L41" s="122"/>
      <c r="M41" s="122"/>
      <c r="N41" s="122"/>
      <c r="O41" s="122"/>
      <c r="P41" s="122"/>
      <c r="Q41" s="120"/>
      <c r="R41" s="120"/>
      <c r="S41" s="120"/>
    </row>
    <row r="42" spans="1:19" s="113" customFormat="1" ht="17.25" customHeight="1">
      <c r="A42" s="120"/>
      <c r="B42" s="121" t="s">
        <v>1094</v>
      </c>
      <c r="C42" s="121" t="s">
        <v>1095</v>
      </c>
      <c r="D42" s="121"/>
      <c r="E42" s="119"/>
      <c r="F42" s="122"/>
      <c r="G42" s="123"/>
      <c r="H42" s="122"/>
      <c r="I42" s="122"/>
      <c r="J42" s="122"/>
      <c r="K42" s="122"/>
      <c r="L42" s="122"/>
      <c r="M42" s="122"/>
      <c r="N42" s="122"/>
      <c r="O42" s="122"/>
      <c r="P42" s="122"/>
      <c r="Q42" s="120"/>
      <c r="R42" s="120"/>
      <c r="S42" s="120"/>
    </row>
    <row r="43" spans="1:19" s="113" customFormat="1" ht="17.25" customHeight="1">
      <c r="A43" s="120"/>
      <c r="B43" s="121" t="s">
        <v>1096</v>
      </c>
      <c r="C43" s="121" t="s">
        <v>1097</v>
      </c>
      <c r="D43" s="121" t="s">
        <v>1098</v>
      </c>
      <c r="E43" s="119"/>
      <c r="F43" s="122"/>
      <c r="G43" s="123"/>
      <c r="H43" s="122"/>
      <c r="I43" s="122"/>
      <c r="J43" s="122"/>
      <c r="K43" s="122"/>
      <c r="L43" s="122"/>
      <c r="M43" s="122"/>
      <c r="N43" s="122"/>
      <c r="O43" s="122"/>
      <c r="P43" s="122"/>
      <c r="Q43" s="120"/>
      <c r="R43" s="120"/>
      <c r="S43" s="120"/>
    </row>
    <row r="44" spans="1:19" s="113" customFormat="1" ht="17.25" customHeight="1">
      <c r="A44" s="120"/>
      <c r="B44" s="121" t="s">
        <v>1099</v>
      </c>
      <c r="C44" s="121" t="s">
        <v>1100</v>
      </c>
      <c r="D44" s="121" t="s">
        <v>1101</v>
      </c>
      <c r="E44" s="119"/>
      <c r="F44" s="122"/>
      <c r="G44" s="123"/>
      <c r="H44" s="122"/>
      <c r="I44" s="122"/>
      <c r="J44" s="122"/>
      <c r="K44" s="122"/>
      <c r="L44" s="122"/>
      <c r="M44" s="122"/>
      <c r="N44" s="122"/>
      <c r="O44" s="122"/>
      <c r="P44" s="122"/>
      <c r="Q44" s="120"/>
      <c r="R44" s="120"/>
      <c r="S44" s="120"/>
    </row>
    <row r="45" spans="1:19" s="113" customFormat="1" ht="17.25" customHeight="1">
      <c r="A45" s="120"/>
      <c r="B45" s="121" t="s">
        <v>1102</v>
      </c>
      <c r="C45" s="121" t="s">
        <v>1103</v>
      </c>
      <c r="D45" s="121" t="s">
        <v>1104</v>
      </c>
      <c r="E45" s="119"/>
      <c r="F45" s="122"/>
      <c r="G45" s="123"/>
      <c r="H45" s="122"/>
      <c r="I45" s="122"/>
      <c r="J45" s="122"/>
      <c r="K45" s="122"/>
      <c r="L45" s="122"/>
      <c r="M45" s="122"/>
      <c r="N45" s="122"/>
      <c r="O45" s="122"/>
      <c r="P45" s="122"/>
      <c r="Q45" s="120"/>
      <c r="R45" s="120"/>
      <c r="S45" s="120"/>
    </row>
    <row r="46" spans="1:19" s="113" customFormat="1" ht="17.25" customHeight="1">
      <c r="A46" s="120"/>
      <c r="B46" s="121" t="s">
        <v>1105</v>
      </c>
      <c r="C46" s="121" t="s">
        <v>1106</v>
      </c>
      <c r="D46" s="121" t="s">
        <v>1107</v>
      </c>
      <c r="E46" s="119"/>
      <c r="F46" s="122"/>
      <c r="G46" s="123"/>
      <c r="H46" s="122"/>
      <c r="I46" s="122"/>
      <c r="J46" s="122"/>
      <c r="K46" s="122"/>
      <c r="L46" s="122"/>
      <c r="M46" s="122"/>
      <c r="N46" s="122"/>
      <c r="O46" s="122"/>
      <c r="P46" s="122"/>
      <c r="Q46" s="120"/>
      <c r="R46" s="120"/>
      <c r="S46" s="120"/>
    </row>
    <row r="47" spans="1:19" s="113" customFormat="1" ht="17.25" customHeight="1">
      <c r="A47" s="120"/>
      <c r="B47" s="121" t="s">
        <v>1108</v>
      </c>
      <c r="C47" s="121" t="s">
        <v>1109</v>
      </c>
      <c r="D47" s="121" t="s">
        <v>1110</v>
      </c>
      <c r="E47" s="119"/>
      <c r="F47" s="122"/>
      <c r="G47" s="123"/>
      <c r="H47" s="122"/>
      <c r="I47" s="122"/>
      <c r="J47" s="122"/>
      <c r="K47" s="122"/>
      <c r="L47" s="122"/>
      <c r="M47" s="122"/>
      <c r="N47" s="122"/>
      <c r="O47" s="122"/>
      <c r="P47" s="122"/>
      <c r="Q47" s="120"/>
      <c r="R47" s="120"/>
      <c r="S47" s="120"/>
    </row>
    <row r="48" spans="1:19" s="113" customFormat="1" ht="17.25" customHeight="1">
      <c r="A48" s="120"/>
      <c r="B48" s="121" t="s">
        <v>1111</v>
      </c>
      <c r="C48" s="121" t="s">
        <v>1112</v>
      </c>
      <c r="D48" s="121" t="s">
        <v>1112</v>
      </c>
      <c r="E48" s="119"/>
      <c r="F48" s="122"/>
      <c r="G48" s="123"/>
      <c r="H48" s="122"/>
      <c r="I48" s="122"/>
      <c r="J48" s="122"/>
      <c r="K48" s="122"/>
      <c r="L48" s="122"/>
      <c r="M48" s="122"/>
      <c r="N48" s="122"/>
      <c r="O48" s="122"/>
      <c r="P48" s="122"/>
      <c r="Q48" s="120"/>
      <c r="R48" s="120"/>
      <c r="S48" s="120"/>
    </row>
    <row r="49" spans="1:19" s="113" customFormat="1" ht="17.25" customHeight="1">
      <c r="A49" s="120"/>
      <c r="B49" s="121" t="s">
        <v>1113</v>
      </c>
      <c r="C49" s="121" t="s">
        <v>1114</v>
      </c>
      <c r="D49" s="121" t="s">
        <v>1115</v>
      </c>
      <c r="E49" s="119"/>
      <c r="F49" s="122"/>
      <c r="G49" s="123"/>
      <c r="H49" s="122"/>
      <c r="I49" s="122"/>
      <c r="J49" s="122"/>
      <c r="K49" s="122"/>
      <c r="L49" s="122"/>
      <c r="M49" s="122"/>
      <c r="N49" s="122"/>
      <c r="O49" s="122"/>
      <c r="P49" s="122"/>
      <c r="Q49" s="120"/>
      <c r="R49" s="120"/>
      <c r="S49" s="120"/>
    </row>
    <row r="50" spans="1:19" s="113" customFormat="1" ht="17.25" customHeight="1">
      <c r="A50" s="120"/>
      <c r="B50" s="121" t="s">
        <v>1036</v>
      </c>
      <c r="C50" s="121" t="s">
        <v>1116</v>
      </c>
      <c r="D50" s="121" t="s">
        <v>1035</v>
      </c>
      <c r="E50" s="119"/>
      <c r="F50" s="122"/>
      <c r="G50" s="123"/>
      <c r="H50" s="122"/>
      <c r="I50" s="122"/>
      <c r="J50" s="122"/>
      <c r="K50" s="122"/>
      <c r="L50" s="122"/>
      <c r="M50" s="122"/>
      <c r="N50" s="122"/>
      <c r="O50" s="122"/>
      <c r="P50" s="122"/>
      <c r="Q50" s="120"/>
      <c r="R50" s="120"/>
      <c r="S50" s="120"/>
    </row>
    <row r="51" spans="1:19" s="113" customFormat="1" ht="17.25" customHeight="1">
      <c r="A51" s="120"/>
      <c r="B51" s="121" t="s">
        <v>1117</v>
      </c>
      <c r="C51" s="121" t="s">
        <v>1118</v>
      </c>
      <c r="D51" s="121"/>
      <c r="E51" s="119"/>
      <c r="F51" s="122"/>
      <c r="G51" s="123"/>
      <c r="H51" s="122"/>
      <c r="I51" s="122"/>
      <c r="J51" s="122"/>
      <c r="K51" s="122"/>
      <c r="L51" s="122"/>
      <c r="M51" s="122"/>
      <c r="N51" s="122"/>
      <c r="O51" s="122"/>
      <c r="P51" s="122"/>
      <c r="Q51" s="120"/>
      <c r="R51" s="120"/>
      <c r="S51" s="120"/>
    </row>
    <row r="52" spans="1:19" s="113" customFormat="1" ht="17.25" customHeight="1">
      <c r="A52" s="120"/>
      <c r="B52" s="121" t="s">
        <v>1119</v>
      </c>
      <c r="C52" s="121" t="s">
        <v>1120</v>
      </c>
      <c r="D52" s="121"/>
      <c r="E52" s="119"/>
      <c r="F52" s="122"/>
      <c r="G52" s="123"/>
      <c r="H52" s="122"/>
      <c r="I52" s="122"/>
      <c r="J52" s="122"/>
      <c r="K52" s="122"/>
      <c r="L52" s="122"/>
      <c r="M52" s="122"/>
      <c r="N52" s="122"/>
      <c r="O52" s="122"/>
      <c r="P52" s="122"/>
      <c r="Q52" s="120"/>
      <c r="R52" s="120"/>
      <c r="S52" s="120"/>
    </row>
    <row r="53" spans="1:19" s="113" customFormat="1" ht="17.25" customHeight="1">
      <c r="A53" s="120"/>
      <c r="B53" s="121" t="s">
        <v>1010</v>
      </c>
      <c r="C53" s="121" t="s">
        <v>1011</v>
      </c>
      <c r="D53" s="121"/>
      <c r="E53" s="119"/>
      <c r="F53" s="122"/>
      <c r="G53" s="123"/>
      <c r="H53" s="122"/>
      <c r="I53" s="122"/>
      <c r="J53" s="122"/>
      <c r="K53" s="122"/>
      <c r="L53" s="122"/>
      <c r="M53" s="122"/>
      <c r="N53" s="122"/>
      <c r="O53" s="122"/>
      <c r="P53" s="122"/>
      <c r="Q53" s="120"/>
      <c r="R53" s="120"/>
      <c r="S53" s="120"/>
    </row>
    <row r="54" spans="1:19" s="113" customFormat="1" ht="17.25" customHeight="1">
      <c r="A54" s="120"/>
      <c r="B54" s="121" t="s">
        <v>1121</v>
      </c>
      <c r="C54" s="121" t="s">
        <v>1122</v>
      </c>
      <c r="D54" s="121"/>
      <c r="E54" s="119"/>
      <c r="F54" s="122"/>
      <c r="G54" s="123"/>
      <c r="H54" s="122"/>
      <c r="I54" s="122"/>
      <c r="J54" s="122"/>
      <c r="K54" s="122"/>
      <c r="L54" s="122"/>
      <c r="M54" s="122"/>
      <c r="N54" s="122"/>
      <c r="O54" s="122"/>
      <c r="P54" s="122"/>
      <c r="Q54" s="120"/>
      <c r="R54" s="120"/>
      <c r="S54" s="120"/>
    </row>
    <row r="55" spans="1:19" s="113" customFormat="1" ht="17.25" customHeight="1">
      <c r="A55" s="120"/>
      <c r="B55" s="121" t="s">
        <v>1123</v>
      </c>
      <c r="C55" s="121" t="s">
        <v>1124</v>
      </c>
      <c r="D55" s="121"/>
      <c r="E55" s="119"/>
      <c r="F55" s="122"/>
      <c r="G55" s="123"/>
      <c r="H55" s="122"/>
      <c r="I55" s="122"/>
      <c r="J55" s="122"/>
      <c r="K55" s="122"/>
      <c r="L55" s="122"/>
      <c r="M55" s="122"/>
      <c r="N55" s="122"/>
      <c r="O55" s="122"/>
      <c r="P55" s="122"/>
      <c r="Q55" s="120"/>
      <c r="R55" s="120"/>
      <c r="S55" s="120"/>
    </row>
    <row r="56" spans="1:19" s="113" customFormat="1" ht="17.25" customHeight="1">
      <c r="A56" s="120"/>
      <c r="B56" s="121" t="s">
        <v>1125</v>
      </c>
      <c r="C56" s="121" t="s">
        <v>1126</v>
      </c>
      <c r="D56" s="121" t="s">
        <v>1127</v>
      </c>
      <c r="E56" s="119"/>
      <c r="F56" s="122"/>
      <c r="G56" s="123"/>
      <c r="H56" s="122"/>
      <c r="I56" s="122"/>
      <c r="J56" s="122"/>
      <c r="K56" s="122"/>
      <c r="L56" s="122"/>
      <c r="M56" s="122"/>
      <c r="N56" s="122"/>
      <c r="O56" s="122"/>
      <c r="P56" s="122"/>
      <c r="Q56" s="120"/>
      <c r="R56" s="120"/>
      <c r="S56" s="120"/>
    </row>
    <row r="57" spans="1:19" s="113" customFormat="1" ht="17.25" customHeight="1">
      <c r="A57" s="120"/>
      <c r="B57" s="121" t="s">
        <v>1128</v>
      </c>
      <c r="C57" s="121" t="s">
        <v>1129</v>
      </c>
      <c r="D57" s="121" t="s">
        <v>1130</v>
      </c>
      <c r="E57" s="119"/>
      <c r="F57" s="122"/>
      <c r="G57" s="123"/>
      <c r="H57" s="122"/>
      <c r="I57" s="122"/>
      <c r="J57" s="122"/>
      <c r="K57" s="122"/>
      <c r="L57" s="122"/>
      <c r="M57" s="122"/>
      <c r="N57" s="122"/>
      <c r="O57" s="122"/>
      <c r="P57" s="122"/>
      <c r="Q57" s="120"/>
      <c r="R57" s="120"/>
      <c r="S57" s="120"/>
    </row>
    <row r="58" spans="1:19" s="113" customFormat="1" ht="17.25" customHeight="1">
      <c r="A58" s="120"/>
      <c r="B58" s="121" t="s">
        <v>1131</v>
      </c>
      <c r="C58" s="121" t="s">
        <v>1132</v>
      </c>
      <c r="D58" s="121"/>
      <c r="E58" s="119"/>
      <c r="F58" s="122"/>
      <c r="G58" s="123"/>
      <c r="H58" s="122"/>
      <c r="I58" s="122"/>
      <c r="J58" s="122"/>
      <c r="K58" s="122"/>
      <c r="L58" s="122"/>
      <c r="M58" s="122"/>
      <c r="N58" s="122"/>
      <c r="O58" s="122"/>
      <c r="P58" s="122"/>
      <c r="Q58" s="120"/>
      <c r="R58" s="120"/>
      <c r="S58" s="120"/>
    </row>
    <row r="59" spans="1:19" s="113" customFormat="1" ht="17.25" customHeight="1">
      <c r="A59" s="120"/>
      <c r="B59" s="121" t="s">
        <v>1133</v>
      </c>
      <c r="C59" s="121" t="s">
        <v>1134</v>
      </c>
      <c r="D59" s="121"/>
      <c r="E59" s="119"/>
      <c r="F59" s="122"/>
      <c r="G59" s="123"/>
      <c r="H59" s="122"/>
      <c r="I59" s="122"/>
      <c r="J59" s="122"/>
      <c r="K59" s="122"/>
      <c r="L59" s="122"/>
      <c r="M59" s="122"/>
      <c r="N59" s="122"/>
      <c r="O59" s="122"/>
      <c r="P59" s="122"/>
      <c r="Q59" s="120"/>
      <c r="R59" s="120"/>
      <c r="S59" s="120"/>
    </row>
    <row r="60" spans="1:19" s="113" customFormat="1" ht="17.25" customHeight="1">
      <c r="A60" s="120"/>
      <c r="B60" s="121" t="s">
        <v>1135</v>
      </c>
      <c r="C60" s="121" t="s">
        <v>1136</v>
      </c>
      <c r="D60" s="121" t="s">
        <v>1137</v>
      </c>
      <c r="E60" s="119"/>
      <c r="F60" s="122"/>
      <c r="G60" s="123"/>
      <c r="H60" s="122"/>
      <c r="I60" s="122"/>
      <c r="J60" s="122"/>
      <c r="K60" s="122"/>
      <c r="L60" s="122"/>
      <c r="M60" s="122"/>
      <c r="N60" s="122"/>
      <c r="O60" s="122"/>
      <c r="P60" s="122"/>
      <c r="Q60" s="120"/>
      <c r="R60" s="120"/>
      <c r="S60" s="120"/>
    </row>
    <row r="61" spans="1:19" s="113" customFormat="1" ht="17.25" customHeight="1">
      <c r="A61" s="120"/>
      <c r="B61" s="121" t="s">
        <v>1138</v>
      </c>
      <c r="C61" s="121" t="s">
        <v>887</v>
      </c>
      <c r="D61" s="121"/>
      <c r="E61" s="119"/>
      <c r="F61" s="122"/>
      <c r="G61" s="123"/>
      <c r="H61" s="122"/>
      <c r="I61" s="122"/>
      <c r="J61" s="122"/>
      <c r="K61" s="122"/>
      <c r="L61" s="122"/>
      <c r="M61" s="122"/>
      <c r="N61" s="122"/>
      <c r="O61" s="122"/>
      <c r="P61" s="122"/>
      <c r="Q61" s="120"/>
      <c r="R61" s="120"/>
      <c r="S61" s="120"/>
    </row>
    <row r="62" spans="1:19" s="113" customFormat="1" ht="17.25" customHeight="1">
      <c r="A62" s="120"/>
      <c r="B62" s="121" t="s">
        <v>1139</v>
      </c>
      <c r="C62" s="121" t="s">
        <v>1140</v>
      </c>
      <c r="D62" s="121" t="s">
        <v>1141</v>
      </c>
      <c r="E62" s="119"/>
      <c r="F62" s="121"/>
      <c r="G62" s="121"/>
      <c r="H62" s="122"/>
      <c r="I62" s="122"/>
      <c r="J62" s="122"/>
      <c r="K62" s="122"/>
      <c r="L62" s="122"/>
      <c r="M62" s="122"/>
      <c r="N62" s="122"/>
      <c r="O62" s="122"/>
      <c r="P62" s="122"/>
      <c r="Q62" s="120"/>
      <c r="R62" s="120"/>
      <c r="S62" s="120"/>
    </row>
    <row r="63" spans="1:19" s="113" customFormat="1" ht="17.25" customHeight="1">
      <c r="A63" s="120"/>
      <c r="B63" s="121" t="s">
        <v>1142</v>
      </c>
      <c r="C63" s="121" t="s">
        <v>1143</v>
      </c>
      <c r="D63" s="121" t="s">
        <v>1144</v>
      </c>
      <c r="E63" s="119"/>
      <c r="F63" s="122"/>
      <c r="G63" s="123"/>
      <c r="H63" s="122"/>
      <c r="I63" s="122"/>
      <c r="J63" s="122"/>
      <c r="K63" s="122"/>
      <c r="L63" s="122"/>
      <c r="M63" s="122"/>
      <c r="N63" s="122"/>
      <c r="O63" s="122"/>
      <c r="P63" s="122"/>
      <c r="Q63" s="120"/>
      <c r="R63" s="120"/>
      <c r="S63" s="120"/>
    </row>
    <row r="64" spans="1:19" s="113" customFormat="1" ht="17.25" customHeight="1">
      <c r="A64" s="120"/>
      <c r="B64" s="121" t="s">
        <v>1145</v>
      </c>
      <c r="C64" s="121" t="s">
        <v>1146</v>
      </c>
      <c r="D64" s="121" t="s">
        <v>1145</v>
      </c>
      <c r="E64" s="119"/>
      <c r="F64" s="122"/>
      <c r="G64" s="123"/>
      <c r="H64" s="122"/>
      <c r="I64" s="122"/>
      <c r="J64" s="122"/>
      <c r="K64" s="122"/>
      <c r="L64" s="122"/>
      <c r="M64" s="122"/>
      <c r="N64" s="122"/>
      <c r="O64" s="122"/>
      <c r="P64" s="122"/>
      <c r="Q64" s="120"/>
      <c r="R64" s="120"/>
      <c r="S64" s="120"/>
    </row>
    <row r="65" spans="1:19" s="113" customFormat="1" ht="17.25" customHeight="1">
      <c r="A65" s="120"/>
      <c r="B65" s="121" t="s">
        <v>1147</v>
      </c>
      <c r="C65" s="121" t="s">
        <v>1148</v>
      </c>
      <c r="D65" s="121"/>
      <c r="E65" s="119"/>
      <c r="F65" s="122"/>
      <c r="G65" s="123"/>
      <c r="H65" s="122"/>
      <c r="I65" s="122"/>
      <c r="J65" s="122"/>
      <c r="K65" s="122"/>
      <c r="L65" s="122"/>
      <c r="M65" s="122"/>
      <c r="N65" s="122"/>
      <c r="O65" s="122"/>
      <c r="P65" s="122"/>
      <c r="Q65" s="120"/>
      <c r="R65" s="120"/>
      <c r="S65" s="120"/>
    </row>
    <row r="66" spans="1:19" s="113" customFormat="1" ht="17.25" customHeight="1">
      <c r="A66" s="120"/>
      <c r="B66" s="121" t="s">
        <v>1149</v>
      </c>
      <c r="C66" s="121" t="s">
        <v>1150</v>
      </c>
      <c r="D66" s="121" t="s">
        <v>1151</v>
      </c>
      <c r="E66" s="119"/>
      <c r="F66" s="122"/>
      <c r="G66" s="123"/>
      <c r="H66" s="122"/>
      <c r="I66" s="122"/>
      <c r="J66" s="122"/>
      <c r="K66" s="122"/>
      <c r="L66" s="122"/>
      <c r="M66" s="122"/>
      <c r="N66" s="122"/>
      <c r="O66" s="122"/>
      <c r="P66" s="122"/>
      <c r="Q66" s="120"/>
      <c r="R66" s="120"/>
      <c r="S66" s="120"/>
    </row>
    <row r="67" spans="1:19" s="113" customFormat="1" ht="17.25" customHeight="1">
      <c r="A67" s="120"/>
      <c r="B67" s="121" t="s">
        <v>1152</v>
      </c>
      <c r="C67" s="121" t="s">
        <v>1153</v>
      </c>
      <c r="D67" s="121" t="s">
        <v>1154</v>
      </c>
      <c r="E67" s="119"/>
      <c r="F67" s="122"/>
      <c r="G67" s="123"/>
      <c r="H67" s="122"/>
      <c r="I67" s="122"/>
      <c r="J67" s="122"/>
      <c r="K67" s="122"/>
      <c r="L67" s="122"/>
      <c r="M67" s="122"/>
      <c r="N67" s="122"/>
      <c r="O67" s="122"/>
      <c r="P67" s="122"/>
      <c r="Q67" s="120"/>
      <c r="R67" s="120"/>
      <c r="S67" s="120"/>
    </row>
    <row r="68" spans="1:19" s="113" customFormat="1" ht="17.25" customHeight="1">
      <c r="A68" s="120"/>
      <c r="B68" s="121" t="s">
        <v>1155</v>
      </c>
      <c r="C68" s="121" t="s">
        <v>1156</v>
      </c>
      <c r="D68" s="121"/>
      <c r="E68" s="119"/>
      <c r="F68" s="122"/>
      <c r="G68" s="123"/>
      <c r="H68" s="122"/>
      <c r="I68" s="122"/>
      <c r="J68" s="122"/>
      <c r="K68" s="122"/>
      <c r="L68" s="122"/>
      <c r="M68" s="122"/>
      <c r="N68" s="122"/>
      <c r="O68" s="122"/>
      <c r="P68" s="122"/>
      <c r="Q68" s="120"/>
      <c r="R68" s="120"/>
      <c r="S68" s="120"/>
    </row>
    <row r="69" spans="1:19" s="113" customFormat="1" ht="17.25" customHeight="1">
      <c r="A69" s="120"/>
      <c r="B69" s="121" t="s">
        <v>1157</v>
      </c>
      <c r="C69" s="121" t="s">
        <v>1158</v>
      </c>
      <c r="D69" s="121" t="s">
        <v>1159</v>
      </c>
      <c r="E69" s="119"/>
      <c r="F69" s="122"/>
      <c r="G69" s="123"/>
      <c r="H69" s="122"/>
      <c r="I69" s="122"/>
      <c r="J69" s="122"/>
      <c r="K69" s="122"/>
      <c r="L69" s="122"/>
      <c r="M69" s="122"/>
      <c r="N69" s="122"/>
      <c r="O69" s="122"/>
      <c r="P69" s="122"/>
      <c r="Q69" s="120"/>
      <c r="R69" s="120"/>
      <c r="S69" s="120"/>
    </row>
    <row r="70" spans="1:19" s="113" customFormat="1" ht="17.25" customHeight="1">
      <c r="A70" s="120"/>
      <c r="B70" s="121" t="s">
        <v>1160</v>
      </c>
      <c r="C70" s="121" t="s">
        <v>1161</v>
      </c>
      <c r="D70" s="121"/>
      <c r="E70" s="119"/>
      <c r="F70" s="122"/>
      <c r="G70" s="123"/>
      <c r="H70" s="122"/>
      <c r="I70" s="122"/>
      <c r="J70" s="122"/>
      <c r="K70" s="122"/>
      <c r="L70" s="122"/>
      <c r="M70" s="122"/>
      <c r="N70" s="122"/>
      <c r="O70" s="122"/>
      <c r="P70" s="122"/>
      <c r="Q70" s="120"/>
      <c r="R70" s="120"/>
      <c r="S70" s="120"/>
    </row>
    <row r="71" spans="1:19" s="113" customFormat="1" ht="17.25" customHeight="1">
      <c r="A71" s="120"/>
      <c r="B71" s="121" t="s">
        <v>936</v>
      </c>
      <c r="C71" s="121" t="s">
        <v>1162</v>
      </c>
      <c r="D71" s="121"/>
      <c r="E71" s="119"/>
      <c r="F71" s="122"/>
      <c r="G71" s="123"/>
      <c r="H71" s="122"/>
      <c r="I71" s="122"/>
      <c r="J71" s="122"/>
      <c r="K71" s="122"/>
      <c r="L71" s="122"/>
      <c r="M71" s="122"/>
      <c r="N71" s="122"/>
      <c r="O71" s="122"/>
      <c r="P71" s="122"/>
      <c r="Q71" s="120"/>
      <c r="R71" s="120"/>
      <c r="S71" s="120"/>
    </row>
    <row r="72" spans="1:19" s="113" customFormat="1" ht="17.25" customHeight="1">
      <c r="A72" s="120"/>
      <c r="B72" s="121" t="s">
        <v>1163</v>
      </c>
      <c r="C72" s="121" t="s">
        <v>1164</v>
      </c>
      <c r="D72" s="121" t="s">
        <v>1165</v>
      </c>
      <c r="E72" s="119"/>
      <c r="F72" s="122"/>
      <c r="G72" s="123"/>
      <c r="H72" s="122"/>
      <c r="I72" s="122"/>
      <c r="J72" s="122"/>
      <c r="K72" s="122"/>
      <c r="L72" s="122"/>
      <c r="M72" s="122"/>
      <c r="N72" s="122"/>
      <c r="O72" s="122"/>
      <c r="P72" s="122"/>
      <c r="Q72" s="120"/>
      <c r="R72" s="120"/>
      <c r="S72" s="120"/>
    </row>
    <row r="73" spans="1:19" s="113" customFormat="1" ht="17.25" customHeight="1">
      <c r="A73" s="120"/>
      <c r="B73" s="121" t="s">
        <v>1166</v>
      </c>
      <c r="C73" s="121" t="s">
        <v>1167</v>
      </c>
      <c r="D73" s="121" t="s">
        <v>1168</v>
      </c>
      <c r="E73" s="119"/>
      <c r="F73" s="122"/>
      <c r="G73" s="123"/>
      <c r="H73" s="122"/>
      <c r="I73" s="122"/>
      <c r="J73" s="122"/>
      <c r="K73" s="122"/>
      <c r="L73" s="122"/>
      <c r="M73" s="122"/>
      <c r="N73" s="122"/>
      <c r="O73" s="122"/>
      <c r="P73" s="122"/>
      <c r="Q73" s="120"/>
      <c r="R73" s="120"/>
      <c r="S73" s="120"/>
    </row>
    <row r="74" spans="1:19" s="113" customFormat="1" ht="17.25" customHeight="1">
      <c r="A74" s="120"/>
      <c r="B74" s="121" t="s">
        <v>1169</v>
      </c>
      <c r="C74" s="121" t="s">
        <v>1170</v>
      </c>
      <c r="D74" s="121"/>
      <c r="E74" s="119"/>
      <c r="F74" s="122"/>
      <c r="G74" s="123"/>
      <c r="H74" s="122"/>
      <c r="I74" s="122"/>
      <c r="J74" s="122"/>
      <c r="K74" s="122"/>
      <c r="L74" s="122"/>
      <c r="M74" s="122"/>
      <c r="N74" s="122"/>
      <c r="O74" s="122"/>
      <c r="P74" s="122"/>
      <c r="Q74" s="120"/>
      <c r="R74" s="120"/>
      <c r="S74" s="120"/>
    </row>
    <row r="75" spans="1:19" s="113" customFormat="1" ht="17.25" customHeight="1">
      <c r="A75" s="120"/>
      <c r="B75" s="121" t="s">
        <v>1171</v>
      </c>
      <c r="C75" s="121" t="s">
        <v>1172</v>
      </c>
      <c r="D75" s="121" t="s">
        <v>1173</v>
      </c>
      <c r="E75" s="119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0"/>
      <c r="R75" s="120"/>
      <c r="S75" s="120"/>
    </row>
    <row r="76" spans="1:19" s="113" customFormat="1" ht="17.25" customHeight="1">
      <c r="A76" s="120"/>
      <c r="B76" s="121" t="s">
        <v>1174</v>
      </c>
      <c r="C76" s="121" t="s">
        <v>1175</v>
      </c>
      <c r="D76" s="121"/>
      <c r="E76" s="119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0"/>
      <c r="R76" s="120"/>
      <c r="S76" s="120"/>
    </row>
    <row r="77" spans="1:19" s="113" customFormat="1" ht="17.25" customHeight="1">
      <c r="A77" s="120"/>
      <c r="B77" s="121" t="s">
        <v>1176</v>
      </c>
      <c r="C77" s="121" t="s">
        <v>1177</v>
      </c>
      <c r="D77" s="121"/>
      <c r="E77" s="119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0"/>
      <c r="R77" s="120"/>
      <c r="S77" s="120"/>
    </row>
    <row r="78" spans="1:19" s="113" customFormat="1" ht="17.25" customHeight="1">
      <c r="A78" s="120"/>
      <c r="B78" s="121" t="s">
        <v>1178</v>
      </c>
      <c r="C78" s="121" t="s">
        <v>1179</v>
      </c>
      <c r="D78" s="121" t="s">
        <v>1180</v>
      </c>
      <c r="E78" s="119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0"/>
      <c r="R78" s="120"/>
      <c r="S78" s="120"/>
    </row>
    <row r="79" spans="1:19" s="113" customFormat="1" ht="17.25" customHeight="1">
      <c r="A79" s="120"/>
      <c r="B79" s="121" t="s">
        <v>1181</v>
      </c>
      <c r="C79" s="121" t="s">
        <v>1182</v>
      </c>
      <c r="D79" s="121" t="s">
        <v>1183</v>
      </c>
      <c r="E79" s="119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0"/>
      <c r="R79" s="120"/>
      <c r="S79" s="120"/>
    </row>
    <row r="80" spans="1:19" s="113" customFormat="1" ht="17.25" customHeight="1">
      <c r="A80" s="120"/>
      <c r="B80" s="121" t="s">
        <v>1184</v>
      </c>
      <c r="C80" s="121" t="s">
        <v>1185</v>
      </c>
      <c r="D80" s="121" t="s">
        <v>1186</v>
      </c>
      <c r="E80" s="119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0"/>
      <c r="R80" s="120"/>
      <c r="S80" s="120"/>
    </row>
    <row r="81" spans="1:19" s="113" customFormat="1" ht="17.25" customHeight="1">
      <c r="A81" s="120"/>
      <c r="B81" s="121" t="s">
        <v>1187</v>
      </c>
      <c r="C81" s="121" t="s">
        <v>1188</v>
      </c>
      <c r="D81" s="121" t="s">
        <v>1189</v>
      </c>
      <c r="E81" s="119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0"/>
      <c r="R81" s="120"/>
      <c r="S81" s="120"/>
    </row>
    <row r="82" spans="1:19" s="113" customFormat="1" ht="17.25" customHeight="1">
      <c r="A82" s="120"/>
      <c r="B82" s="121" t="s">
        <v>1190</v>
      </c>
      <c r="C82" s="121" t="s">
        <v>1191</v>
      </c>
      <c r="D82" s="121" t="s">
        <v>1192</v>
      </c>
      <c r="E82" s="119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0"/>
      <c r="R82" s="120"/>
      <c r="S82" s="120"/>
    </row>
    <row r="83" spans="1:19" s="113" customFormat="1" ht="17.25" customHeight="1">
      <c r="A83" s="120"/>
      <c r="B83" s="121" t="s">
        <v>1193</v>
      </c>
      <c r="C83" s="121" t="s">
        <v>1194</v>
      </c>
      <c r="D83" s="121" t="s">
        <v>1195</v>
      </c>
      <c r="E83" s="119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0"/>
      <c r="R83" s="120"/>
      <c r="S83" s="120"/>
    </row>
    <row r="84" spans="1:19" s="113" customFormat="1" ht="17.25" customHeight="1">
      <c r="A84" s="120"/>
      <c r="B84" s="121" t="s">
        <v>1196</v>
      </c>
      <c r="C84" s="121" t="s">
        <v>1197</v>
      </c>
      <c r="D84" s="121" t="s">
        <v>1198</v>
      </c>
      <c r="E84" s="119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0"/>
      <c r="R84" s="120"/>
      <c r="S84" s="120"/>
    </row>
    <row r="85" spans="1:19" s="113" customFormat="1" ht="17.25" customHeight="1">
      <c r="A85" s="120"/>
      <c r="B85" s="121" t="s">
        <v>1199</v>
      </c>
      <c r="C85" s="121" t="s">
        <v>1200</v>
      </c>
      <c r="D85" s="121" t="s">
        <v>1201</v>
      </c>
      <c r="E85" s="119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0"/>
      <c r="R85" s="120"/>
      <c r="S85" s="120"/>
    </row>
    <row r="86" spans="1:19" s="113" customFormat="1" ht="17.25" customHeight="1">
      <c r="A86" s="120"/>
      <c r="B86" s="121" t="s">
        <v>1202</v>
      </c>
      <c r="C86" s="121" t="s">
        <v>1203</v>
      </c>
      <c r="D86" s="121" t="s">
        <v>1204</v>
      </c>
      <c r="E86" s="119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0"/>
      <c r="R86" s="120"/>
      <c r="S86" s="120"/>
    </row>
    <row r="87" spans="1:19" s="113" customFormat="1" ht="17.25" customHeight="1">
      <c r="A87" s="120"/>
      <c r="B87" s="121" t="s">
        <v>1205</v>
      </c>
      <c r="C87" s="121" t="s">
        <v>1206</v>
      </c>
      <c r="D87" s="121" t="s">
        <v>1207</v>
      </c>
      <c r="E87" s="119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0"/>
      <c r="R87" s="120"/>
      <c r="S87" s="120"/>
    </row>
    <row r="88" spans="1:19" s="113" customFormat="1" ht="17.25" customHeight="1">
      <c r="A88" s="120"/>
      <c r="B88" s="121" t="s">
        <v>1208</v>
      </c>
      <c r="C88" s="121" t="s">
        <v>1209</v>
      </c>
      <c r="D88" s="121" t="s">
        <v>1210</v>
      </c>
      <c r="E88" s="119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0"/>
      <c r="R88" s="120"/>
      <c r="S88" s="120"/>
    </row>
    <row r="89" spans="1:19" s="113" customFormat="1" ht="17.25" customHeight="1">
      <c r="A89" s="120"/>
      <c r="B89" s="124" t="s">
        <v>1211</v>
      </c>
      <c r="C89" s="121" t="s">
        <v>1212</v>
      </c>
      <c r="D89" s="121"/>
      <c r="E89" s="119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0"/>
      <c r="R89" s="120"/>
      <c r="S89" s="120"/>
    </row>
    <row r="90" spans="1:19" s="113" customFormat="1" ht="17.25" customHeight="1">
      <c r="A90" s="120"/>
      <c r="B90" s="121" t="s">
        <v>1213</v>
      </c>
      <c r="C90" s="121" t="s">
        <v>1214</v>
      </c>
      <c r="D90" s="121"/>
      <c r="E90" s="119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0"/>
      <c r="R90" s="120"/>
      <c r="S90" s="120"/>
    </row>
    <row r="91" spans="1:19" s="113" customFormat="1" ht="17.25" customHeight="1">
      <c r="A91" s="120"/>
      <c r="B91" s="121" t="s">
        <v>1215</v>
      </c>
      <c r="C91" s="121" t="s">
        <v>1216</v>
      </c>
      <c r="D91" s="121" t="s">
        <v>1217</v>
      </c>
      <c r="E91" s="119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0"/>
      <c r="R91" s="120"/>
      <c r="S91" s="120"/>
    </row>
    <row r="92" spans="1:19" s="113" customFormat="1" ht="17.25" customHeight="1">
      <c r="A92" s="120"/>
      <c r="B92" s="121" t="s">
        <v>1218</v>
      </c>
      <c r="C92" s="121" t="s">
        <v>1219</v>
      </c>
      <c r="D92" s="121" t="s">
        <v>1220</v>
      </c>
      <c r="E92" s="119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0"/>
      <c r="R92" s="120"/>
      <c r="S92" s="120"/>
    </row>
    <row r="93" spans="1:19" s="113" customFormat="1" ht="17.25" customHeight="1">
      <c r="A93" s="120"/>
      <c r="B93" s="121"/>
      <c r="C93" s="121"/>
      <c r="D93" s="121"/>
      <c r="E93" s="119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0"/>
      <c r="R93" s="120"/>
      <c r="S93" s="120"/>
    </row>
    <row r="94" spans="1:19" s="113" customFormat="1" ht="17.25" customHeight="1">
      <c r="A94" s="120"/>
      <c r="B94" s="121"/>
      <c r="C94" s="121"/>
      <c r="D94" s="121"/>
      <c r="E94" s="119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0"/>
      <c r="R94" s="120"/>
      <c r="S94" s="120"/>
    </row>
    <row r="95" spans="1:19" s="113" customFormat="1" ht="17.25" customHeight="1">
      <c r="A95" s="120"/>
      <c r="B95" s="121"/>
      <c r="C95" s="121"/>
      <c r="D95" s="121"/>
      <c r="E95" s="119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0"/>
      <c r="R95" s="120"/>
      <c r="S95" s="120"/>
    </row>
    <row r="96" spans="1:19" s="113" customFormat="1" ht="17.25" customHeight="1">
      <c r="A96" s="120"/>
      <c r="B96" s="121"/>
      <c r="C96" s="121"/>
      <c r="D96" s="121"/>
      <c r="E96" s="119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0"/>
      <c r="R96" s="120"/>
      <c r="S96" s="120"/>
    </row>
    <row r="97" spans="1:19" s="113" customFormat="1" ht="17.25" customHeight="1">
      <c r="A97" s="120"/>
      <c r="B97" s="121"/>
      <c r="C97" s="121"/>
      <c r="D97" s="121"/>
      <c r="E97" s="119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0"/>
      <c r="R97" s="120"/>
      <c r="S97" s="120"/>
    </row>
    <row r="98" spans="1:19" s="113" customFormat="1" ht="17.25" customHeight="1">
      <c r="A98" s="120"/>
      <c r="B98" s="121"/>
      <c r="C98" s="121"/>
      <c r="D98" s="121"/>
      <c r="E98" s="119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0"/>
      <c r="R98" s="120"/>
      <c r="S98" s="120"/>
    </row>
    <row r="99" spans="1:19" s="113" customFormat="1" ht="17.25" customHeight="1">
      <c r="A99" s="120"/>
      <c r="B99" s="121"/>
      <c r="C99" s="121"/>
      <c r="D99" s="121"/>
      <c r="E99" s="119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0"/>
      <c r="R99" s="120"/>
      <c r="S99" s="120"/>
    </row>
    <row r="100" spans="1:19" s="113" customFormat="1" ht="17.25" customHeight="1">
      <c r="A100" s="120"/>
      <c r="B100" s="121"/>
      <c r="C100" s="121"/>
      <c r="D100" s="121"/>
      <c r="E100" s="119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0"/>
      <c r="R100" s="120"/>
      <c r="S100" s="120"/>
    </row>
    <row r="101" spans="1:19" s="113" customFormat="1" ht="17.25" customHeight="1">
      <c r="A101" s="120"/>
      <c r="B101" s="121"/>
      <c r="C101" s="121"/>
      <c r="D101" s="121"/>
      <c r="E101" s="119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0"/>
      <c r="R101" s="120"/>
      <c r="S101" s="120"/>
    </row>
    <row r="102" spans="1:19" s="113" customFormat="1" ht="17.25" customHeight="1">
      <c r="A102" s="120"/>
      <c r="B102" s="121"/>
      <c r="C102" s="121"/>
      <c r="D102" s="121"/>
      <c r="E102" s="119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0"/>
      <c r="R102" s="120"/>
      <c r="S102" s="120"/>
    </row>
    <row r="103" spans="1:19" s="113" customFormat="1" ht="17.25" customHeight="1">
      <c r="A103" s="120"/>
      <c r="B103" s="121"/>
      <c r="C103" s="121"/>
      <c r="D103" s="121"/>
      <c r="E103" s="119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0"/>
      <c r="R103" s="120"/>
      <c r="S103" s="120"/>
    </row>
    <row r="104" spans="1:19" ht="17.25" customHeight="1">
      <c r="B104" s="125"/>
      <c r="C104" s="125"/>
      <c r="D104" s="125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</row>
    <row r="105" spans="1:19" ht="17.25" customHeight="1">
      <c r="B105" s="125"/>
      <c r="C105" s="125"/>
      <c r="D105" s="125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</row>
    <row r="106" spans="1:19" ht="17.25" customHeight="1">
      <c r="B106" s="125"/>
      <c r="C106" s="125"/>
      <c r="D106" s="125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</row>
    <row r="107" spans="1:19" ht="17.25" customHeight="1">
      <c r="B107" s="125"/>
      <c r="C107" s="125"/>
      <c r="D107" s="125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</row>
    <row r="108" spans="1:19" ht="17.25" customHeight="1">
      <c r="B108" s="125"/>
      <c r="C108" s="125"/>
      <c r="D108" s="125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</row>
    <row r="109" spans="1:19" ht="17.25" customHeight="1">
      <c r="B109" s="125"/>
      <c r="C109" s="125"/>
      <c r="D109" s="125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</row>
    <row r="110" spans="1:19" ht="17.25" customHeight="1">
      <c r="B110" s="125"/>
      <c r="C110" s="125"/>
      <c r="D110" s="125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</row>
    <row r="111" spans="1:19" ht="17.25" customHeight="1">
      <c r="B111" s="125"/>
      <c r="C111" s="125"/>
      <c r="D111" s="125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</row>
    <row r="112" spans="1:19" ht="17.25" customHeight="1">
      <c r="B112" s="125"/>
      <c r="C112" s="125"/>
      <c r="D112" s="125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</row>
    <row r="113" spans="2:16" ht="17.25" customHeight="1">
      <c r="B113" s="125"/>
      <c r="C113" s="125"/>
      <c r="D113" s="125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</row>
    <row r="114" spans="2:16" ht="17.25" customHeight="1">
      <c r="B114" s="125"/>
      <c r="C114" s="125"/>
      <c r="D114" s="125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</row>
    <row r="115" spans="2:16" ht="17.25" customHeight="1">
      <c r="B115" s="125"/>
      <c r="C115" s="125"/>
      <c r="D115" s="125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</row>
    <row r="116" spans="2:16" ht="17.25" customHeight="1">
      <c r="B116" s="125"/>
      <c r="C116" s="125"/>
      <c r="D116" s="125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</row>
    <row r="117" spans="2:16" ht="17.25" customHeight="1">
      <c r="B117" s="125"/>
      <c r="C117" s="125"/>
      <c r="D117" s="125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</row>
    <row r="118" spans="2:16" ht="17.25" customHeight="1">
      <c r="B118" s="125"/>
      <c r="C118" s="125"/>
      <c r="D118" s="125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</row>
    <row r="119" spans="2:16" ht="17.25" customHeight="1">
      <c r="B119" s="125"/>
      <c r="C119" s="125"/>
      <c r="D119" s="125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</row>
    <row r="120" spans="2:16" ht="17.25" customHeight="1">
      <c r="B120" s="125"/>
      <c r="C120" s="125"/>
      <c r="D120" s="125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</row>
    <row r="121" spans="2:16" ht="17.25" customHeight="1">
      <c r="B121" s="125"/>
      <c r="C121" s="125"/>
      <c r="D121" s="125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</row>
    <row r="122" spans="2:16" ht="17.25" customHeight="1">
      <c r="B122" s="125"/>
      <c r="C122" s="125"/>
      <c r="D122" s="125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</row>
    <row r="123" spans="2:16" ht="17.25" customHeight="1">
      <c r="B123" s="125"/>
      <c r="C123" s="125"/>
      <c r="D123" s="125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</row>
    <row r="124" spans="2:16" ht="17.25" customHeight="1">
      <c r="B124" s="125"/>
      <c r="C124" s="125"/>
      <c r="D124" s="125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</row>
    <row r="125" spans="2:16" ht="17.25" customHeight="1">
      <c r="B125" s="125"/>
      <c r="C125" s="125"/>
      <c r="D125" s="125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</row>
    <row r="126" spans="2:16" ht="17.25" customHeight="1">
      <c r="B126" s="125"/>
      <c r="C126" s="125"/>
      <c r="D126" s="125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</row>
    <row r="127" spans="2:16" ht="17.25" customHeight="1">
      <c r="B127" s="125"/>
      <c r="C127" s="125"/>
      <c r="D127" s="125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</row>
    <row r="128" spans="2:16" ht="17.25" customHeight="1">
      <c r="B128" s="125"/>
      <c r="C128" s="125"/>
      <c r="D128" s="125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</row>
    <row r="129" spans="2:16" ht="17.25" customHeight="1">
      <c r="B129" s="125"/>
      <c r="C129" s="125"/>
      <c r="D129" s="125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</row>
    <row r="130" spans="2:16" ht="17.25" customHeight="1">
      <c r="B130" s="125"/>
      <c r="C130" s="125"/>
      <c r="D130" s="125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</row>
    <row r="131" spans="2:16" ht="17.25" customHeight="1">
      <c r="B131" s="125"/>
      <c r="C131" s="125"/>
      <c r="D131" s="125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</row>
    <row r="132" spans="2:16" ht="17.25" customHeight="1">
      <c r="B132" s="125"/>
      <c r="C132" s="125"/>
      <c r="D132" s="125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</row>
    <row r="133" spans="2:16" ht="17.25" customHeight="1">
      <c r="B133" s="125"/>
      <c r="C133" s="125"/>
      <c r="D133" s="125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</row>
    <row r="134" spans="2:16" ht="17.25" customHeight="1">
      <c r="B134" s="125"/>
      <c r="C134" s="125"/>
      <c r="D134" s="125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</row>
    <row r="135" spans="2:16" ht="17.25" customHeight="1">
      <c r="B135" s="125"/>
      <c r="C135" s="125"/>
      <c r="D135" s="125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</row>
    <row r="136" spans="2:16" ht="17.25" customHeight="1">
      <c r="B136" s="125"/>
      <c r="C136" s="125"/>
      <c r="D136" s="125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</row>
    <row r="137" spans="2:16" ht="17.25" customHeight="1">
      <c r="B137" s="125"/>
      <c r="C137" s="125"/>
      <c r="D137" s="125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</row>
    <row r="138" spans="2:16" ht="17.25" customHeight="1">
      <c r="B138" s="125"/>
      <c r="C138" s="125"/>
      <c r="D138" s="125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</row>
    <row r="139" spans="2:16" ht="17.25" customHeight="1">
      <c r="B139" s="125"/>
      <c r="C139" s="125"/>
      <c r="D139" s="125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</row>
    <row r="140" spans="2:16" ht="17.25" customHeight="1">
      <c r="B140" s="125"/>
      <c r="C140" s="125"/>
      <c r="D140" s="125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</row>
    <row r="141" spans="2:16" ht="17.25" customHeight="1">
      <c r="B141" s="125"/>
      <c r="C141" s="125"/>
      <c r="D141" s="125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</row>
    <row r="142" spans="2:16" ht="17.25" customHeight="1">
      <c r="B142" s="125"/>
      <c r="C142" s="125"/>
      <c r="D142" s="125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</row>
    <row r="143" spans="2:16" ht="17.25" customHeight="1">
      <c r="B143" s="125"/>
      <c r="C143" s="125"/>
      <c r="D143" s="125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</row>
    <row r="144" spans="2:16" ht="17.25" customHeight="1">
      <c r="B144" s="125"/>
      <c r="C144" s="125"/>
      <c r="D144" s="125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</row>
    <row r="145" spans="2:16" ht="17.25" customHeight="1">
      <c r="B145" s="125"/>
      <c r="C145" s="125"/>
      <c r="D145" s="125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</row>
    <row r="146" spans="2:16" ht="17.25" customHeight="1">
      <c r="B146" s="125"/>
      <c r="C146" s="125"/>
      <c r="D146" s="125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</row>
    <row r="147" spans="2:16" ht="17.25" customHeight="1">
      <c r="B147" s="125"/>
      <c r="C147" s="125"/>
      <c r="D147" s="125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</row>
    <row r="148" spans="2:16" ht="17.25" customHeight="1">
      <c r="B148" s="125"/>
      <c r="C148" s="125"/>
      <c r="D148" s="125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</row>
    <row r="149" spans="2:16" ht="17.25" customHeight="1">
      <c r="B149" s="125"/>
      <c r="C149" s="125"/>
      <c r="D149" s="125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</row>
    <row r="150" spans="2:16" ht="17.25" customHeight="1">
      <c r="B150" s="125"/>
      <c r="C150" s="125"/>
      <c r="D150" s="125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</row>
    <row r="151" spans="2:16" ht="17.25" customHeight="1">
      <c r="B151" s="125"/>
      <c r="C151" s="125"/>
      <c r="D151" s="125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</row>
    <row r="152" spans="2:16" ht="17.25" customHeight="1">
      <c r="B152" s="125"/>
      <c r="C152" s="125"/>
      <c r="D152" s="125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</row>
    <row r="153" spans="2:16" ht="17.25" customHeight="1">
      <c r="B153" s="125"/>
      <c r="C153" s="125"/>
      <c r="D153" s="125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</row>
    <row r="154" spans="2:16" ht="17.25" customHeight="1">
      <c r="B154" s="125"/>
      <c r="C154" s="125"/>
      <c r="D154" s="125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</row>
    <row r="155" spans="2:16" ht="17.25" customHeight="1">
      <c r="B155" s="125"/>
      <c r="C155" s="125"/>
      <c r="D155" s="125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</row>
    <row r="156" spans="2:16" ht="17.25" customHeight="1">
      <c r="B156" s="125"/>
      <c r="C156" s="125"/>
      <c r="D156" s="125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</row>
    <row r="157" spans="2:16" ht="17.25" customHeight="1">
      <c r="B157" s="125"/>
      <c r="C157" s="125"/>
      <c r="D157" s="125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</row>
    <row r="158" spans="2:16" ht="17.25" customHeight="1">
      <c r="B158" s="125"/>
      <c r="C158" s="125"/>
      <c r="D158" s="125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</row>
    <row r="159" spans="2:16" ht="17.25" customHeight="1">
      <c r="B159" s="125"/>
      <c r="C159" s="125"/>
      <c r="D159" s="125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</row>
    <row r="160" spans="2:16" ht="17.25" customHeight="1">
      <c r="B160" s="125"/>
      <c r="C160" s="125"/>
      <c r="D160" s="125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</row>
    <row r="161" spans="2:16" ht="17.25" customHeight="1">
      <c r="B161" s="125"/>
      <c r="C161" s="125"/>
      <c r="D161" s="125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</row>
    <row r="162" spans="2:16" ht="17.25" customHeight="1">
      <c r="B162" s="125"/>
      <c r="C162" s="125"/>
      <c r="D162" s="125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</row>
    <row r="163" spans="2:16" ht="17.25" customHeight="1">
      <c r="B163" s="125"/>
      <c r="C163" s="125"/>
      <c r="D163" s="125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</row>
    <row r="164" spans="2:16" ht="17.25" customHeight="1">
      <c r="B164" s="125"/>
      <c r="C164" s="125"/>
      <c r="D164" s="125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</row>
    <row r="165" spans="2:16" ht="17.25" customHeight="1">
      <c r="B165" s="125"/>
      <c r="C165" s="125"/>
      <c r="D165" s="125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</row>
    <row r="166" spans="2:16" ht="17.25" customHeight="1">
      <c r="B166" s="125"/>
      <c r="C166" s="125"/>
      <c r="D166" s="125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</row>
    <row r="167" spans="2:16" ht="17.25" customHeight="1">
      <c r="B167" s="125"/>
      <c r="C167" s="125"/>
      <c r="D167" s="125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</row>
    <row r="168" spans="2:16" ht="17.25" customHeight="1">
      <c r="B168" s="125"/>
      <c r="C168" s="125"/>
      <c r="D168" s="125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</row>
    <row r="169" spans="2:16" ht="17.25" customHeight="1">
      <c r="B169" s="125"/>
      <c r="C169" s="125"/>
      <c r="D169" s="125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</row>
    <row r="170" spans="2:16" ht="17.25" customHeight="1">
      <c r="B170" s="125"/>
      <c r="C170" s="125"/>
      <c r="D170" s="125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</row>
    <row r="171" spans="2:16" ht="17.25" customHeight="1">
      <c r="B171" s="125"/>
      <c r="C171" s="125"/>
      <c r="D171" s="125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</row>
    <row r="172" spans="2:16" ht="17.25" customHeight="1">
      <c r="B172" s="125"/>
      <c r="C172" s="125"/>
      <c r="D172" s="125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</row>
    <row r="173" spans="2:16" ht="17.25" customHeight="1">
      <c r="B173" s="125"/>
      <c r="C173" s="125"/>
      <c r="D173" s="125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</row>
    <row r="174" spans="2:16" ht="17.25" customHeight="1">
      <c r="B174" s="125"/>
      <c r="C174" s="125"/>
      <c r="D174" s="125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</row>
    <row r="175" spans="2:16" ht="17.25" customHeight="1">
      <c r="B175" s="125"/>
      <c r="C175" s="125"/>
      <c r="D175" s="125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</row>
    <row r="176" spans="2:16" ht="17.25" customHeight="1">
      <c r="B176" s="125"/>
      <c r="C176" s="125"/>
      <c r="D176" s="125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</row>
    <row r="177" spans="2:16" ht="17.25" customHeight="1">
      <c r="B177" s="125"/>
      <c r="C177" s="125"/>
      <c r="D177" s="125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</row>
    <row r="178" spans="2:16" ht="17.25" customHeight="1">
      <c r="B178" s="125"/>
      <c r="C178" s="125"/>
      <c r="D178" s="125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</row>
    <row r="179" spans="2:16" ht="17.25" customHeight="1">
      <c r="B179" s="125"/>
      <c r="C179" s="125"/>
      <c r="D179" s="125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</row>
    <row r="180" spans="2:16" ht="17.25" customHeight="1">
      <c r="B180" s="125"/>
      <c r="C180" s="125"/>
      <c r="D180" s="125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</row>
    <row r="181" spans="2:16" ht="17.25" customHeight="1">
      <c r="B181" s="125"/>
      <c r="C181" s="125"/>
      <c r="D181" s="125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</row>
    <row r="182" spans="2:16" ht="17.25" customHeight="1">
      <c r="B182" s="125"/>
      <c r="C182" s="125"/>
      <c r="D182" s="125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</row>
    <row r="183" spans="2:16" ht="17.25" customHeight="1">
      <c r="B183" s="125"/>
      <c r="C183" s="125"/>
      <c r="D183" s="125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</row>
    <row r="184" spans="2:16" ht="17.25" customHeight="1">
      <c r="B184" s="125"/>
      <c r="C184" s="125"/>
      <c r="D184" s="125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</row>
    <row r="185" spans="2:16" ht="17.25" customHeight="1">
      <c r="B185" s="125"/>
      <c r="C185" s="125"/>
      <c r="D185" s="125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</row>
    <row r="186" spans="2:16" ht="17.25" customHeight="1">
      <c r="B186" s="125"/>
      <c r="C186" s="125"/>
      <c r="D186" s="125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</row>
    <row r="187" spans="2:16" ht="17.25" customHeight="1">
      <c r="B187" s="125"/>
      <c r="C187" s="125"/>
      <c r="D187" s="125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</row>
    <row r="188" spans="2:16" ht="17.25" customHeight="1">
      <c r="B188" s="125"/>
      <c r="C188" s="125"/>
      <c r="D188" s="125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</row>
    <row r="189" spans="2:16" ht="17.25" customHeight="1">
      <c r="B189" s="125"/>
      <c r="C189" s="125"/>
      <c r="D189" s="125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</row>
    <row r="190" spans="2:16" ht="17.25" customHeight="1">
      <c r="B190" s="125"/>
      <c r="C190" s="125"/>
      <c r="D190" s="125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</row>
    <row r="191" spans="2:16" ht="17.25" customHeight="1">
      <c r="B191" s="125"/>
      <c r="C191" s="125"/>
      <c r="D191" s="125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</row>
    <row r="192" spans="2:16" ht="17.25" customHeight="1">
      <c r="B192" s="125"/>
      <c r="C192" s="125"/>
      <c r="D192" s="125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</row>
    <row r="193" spans="2:16" ht="17.25" customHeight="1">
      <c r="B193" s="125"/>
      <c r="C193" s="125"/>
      <c r="D193" s="125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</row>
    <row r="194" spans="2:16" ht="17.25" customHeight="1">
      <c r="B194" s="125"/>
      <c r="C194" s="125"/>
      <c r="D194" s="125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</row>
    <row r="195" spans="2:16" ht="17.25" customHeight="1">
      <c r="B195" s="125"/>
      <c r="C195" s="125"/>
      <c r="D195" s="125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</row>
    <row r="196" spans="2:16" ht="17.25" customHeight="1">
      <c r="B196" s="125"/>
      <c r="C196" s="125"/>
      <c r="D196" s="125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</row>
    <row r="197" spans="2:16" ht="17.25" customHeight="1">
      <c r="B197" s="125"/>
      <c r="C197" s="125"/>
      <c r="D197" s="125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</row>
    <row r="198" spans="2:16" ht="17.25" customHeight="1">
      <c r="B198" s="125"/>
      <c r="C198" s="125"/>
      <c r="D198" s="125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</row>
    <row r="199" spans="2:16" ht="17.25" customHeight="1">
      <c r="B199" s="125"/>
      <c r="C199" s="125"/>
      <c r="D199" s="125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</row>
    <row r="200" spans="2:16" ht="17.25" customHeight="1">
      <c r="B200" s="125"/>
      <c r="C200" s="125"/>
      <c r="D200" s="125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</row>
    <row r="201" spans="2:16" ht="17.25" customHeight="1">
      <c r="F201" s="114"/>
      <c r="G201" s="114"/>
      <c r="H201" s="114"/>
      <c r="I201" s="114"/>
      <c r="J201" s="114"/>
      <c r="K201" s="114"/>
      <c r="L201" s="114"/>
      <c r="M201" s="114"/>
      <c r="N201" s="114"/>
      <c r="O201" s="114"/>
      <c r="P201" s="114"/>
    </row>
    <row r="202" spans="2:16" ht="17.25" customHeight="1">
      <c r="F202" s="114"/>
      <c r="G202" s="114"/>
      <c r="H202" s="114"/>
      <c r="I202" s="114"/>
      <c r="J202" s="114"/>
      <c r="K202" s="114"/>
      <c r="L202" s="114"/>
      <c r="M202" s="114"/>
      <c r="N202" s="114"/>
      <c r="O202" s="114"/>
      <c r="P202" s="114"/>
    </row>
    <row r="203" spans="2:16" ht="17.25" customHeight="1">
      <c r="F203" s="114"/>
      <c r="G203" s="114"/>
      <c r="H203" s="114"/>
      <c r="I203" s="114"/>
      <c r="J203" s="114"/>
      <c r="K203" s="114"/>
      <c r="L203" s="114"/>
      <c r="M203" s="114"/>
      <c r="N203" s="114"/>
      <c r="O203" s="114"/>
      <c r="P203" s="114"/>
    </row>
    <row r="204" spans="2:16" ht="17.25" customHeight="1">
      <c r="F204" s="114"/>
      <c r="G204" s="114"/>
      <c r="H204" s="114"/>
      <c r="I204" s="114"/>
      <c r="J204" s="114"/>
      <c r="K204" s="114"/>
      <c r="L204" s="114"/>
      <c r="M204" s="114"/>
      <c r="N204" s="114"/>
      <c r="O204" s="114"/>
      <c r="P204" s="114"/>
    </row>
    <row r="205" spans="2:16" ht="17.25" customHeight="1">
      <c r="F205" s="114"/>
      <c r="G205" s="114"/>
      <c r="H205" s="114"/>
      <c r="I205" s="114"/>
      <c r="J205" s="114"/>
      <c r="K205" s="114"/>
      <c r="L205" s="114"/>
      <c r="M205" s="114"/>
      <c r="N205" s="114"/>
      <c r="O205" s="114"/>
      <c r="P205" s="114"/>
    </row>
    <row r="206" spans="2:16" ht="17.25" customHeight="1">
      <c r="F206" s="114"/>
      <c r="G206" s="114"/>
      <c r="H206" s="114"/>
      <c r="I206" s="114"/>
      <c r="J206" s="114"/>
      <c r="K206" s="114"/>
      <c r="L206" s="114"/>
      <c r="M206" s="114"/>
      <c r="N206" s="114"/>
      <c r="O206" s="114"/>
      <c r="P206" s="114"/>
    </row>
    <row r="207" spans="2:16" ht="17.25" customHeight="1">
      <c r="F207" s="114"/>
      <c r="G207" s="114"/>
      <c r="H207" s="114"/>
      <c r="I207" s="114"/>
      <c r="J207" s="114"/>
      <c r="K207" s="114"/>
      <c r="L207" s="114"/>
      <c r="M207" s="114"/>
      <c r="N207" s="114"/>
      <c r="O207" s="114"/>
      <c r="P207" s="114"/>
    </row>
    <row r="208" spans="2:16" ht="17.25" customHeight="1">
      <c r="F208" s="114"/>
      <c r="G208" s="114"/>
      <c r="H208" s="114"/>
      <c r="I208" s="114"/>
      <c r="J208" s="114"/>
      <c r="K208" s="114"/>
      <c r="L208" s="114"/>
      <c r="M208" s="114"/>
      <c r="N208" s="114"/>
      <c r="O208" s="114"/>
      <c r="P208" s="114"/>
    </row>
    <row r="209" spans="6:16" ht="17.25" customHeight="1">
      <c r="F209" s="114"/>
      <c r="G209" s="114"/>
      <c r="H209" s="114"/>
      <c r="I209" s="114"/>
      <c r="J209" s="114"/>
      <c r="K209" s="114"/>
      <c r="L209" s="114"/>
      <c r="M209" s="114"/>
      <c r="N209" s="114"/>
      <c r="O209" s="114"/>
      <c r="P209" s="114"/>
    </row>
    <row r="210" spans="6:16" ht="17.25" customHeight="1">
      <c r="F210" s="114"/>
      <c r="G210" s="114"/>
      <c r="H210" s="114"/>
      <c r="I210" s="114"/>
      <c r="J210" s="114"/>
      <c r="K210" s="114"/>
      <c r="L210" s="114"/>
      <c r="M210" s="114"/>
      <c r="N210" s="114"/>
      <c r="O210" s="114"/>
      <c r="P210" s="114"/>
    </row>
    <row r="211" spans="6:16" ht="17.25" customHeight="1">
      <c r="F211" s="114"/>
      <c r="G211" s="114"/>
      <c r="H211" s="114"/>
      <c r="I211" s="114"/>
      <c r="J211" s="114"/>
      <c r="K211" s="114"/>
      <c r="L211" s="114"/>
      <c r="M211" s="114"/>
      <c r="N211" s="114"/>
      <c r="O211" s="114"/>
      <c r="P211" s="114"/>
    </row>
    <row r="212" spans="6:16" ht="17.25" customHeight="1">
      <c r="F212" s="114"/>
      <c r="G212" s="114"/>
      <c r="H212" s="114"/>
      <c r="I212" s="114"/>
      <c r="J212" s="114"/>
      <c r="K212" s="114"/>
      <c r="L212" s="114"/>
      <c r="M212" s="114"/>
      <c r="N212" s="114"/>
      <c r="O212" s="114"/>
      <c r="P212" s="114"/>
    </row>
    <row r="213" spans="6:16" ht="17.25" customHeight="1">
      <c r="F213" s="114"/>
      <c r="G213" s="114"/>
      <c r="H213" s="114"/>
      <c r="I213" s="114"/>
      <c r="J213" s="114"/>
      <c r="K213" s="114"/>
      <c r="L213" s="114"/>
      <c r="M213" s="114"/>
      <c r="N213" s="114"/>
      <c r="O213" s="114"/>
      <c r="P213" s="114"/>
    </row>
    <row r="214" spans="6:16" ht="17.25" customHeight="1">
      <c r="F214" s="114"/>
      <c r="G214" s="114"/>
      <c r="H214" s="114"/>
      <c r="I214" s="114"/>
      <c r="J214" s="114"/>
      <c r="K214" s="114"/>
      <c r="L214" s="114"/>
      <c r="M214" s="114"/>
      <c r="N214" s="114"/>
      <c r="O214" s="114"/>
      <c r="P214" s="114"/>
    </row>
    <row r="215" spans="6:16" ht="17.25" customHeight="1">
      <c r="F215" s="114"/>
      <c r="G215" s="114"/>
      <c r="H215" s="114"/>
      <c r="I215" s="114"/>
      <c r="J215" s="114"/>
      <c r="K215" s="114"/>
      <c r="L215" s="114"/>
      <c r="M215" s="114"/>
      <c r="N215" s="114"/>
      <c r="O215" s="114"/>
      <c r="P215" s="114"/>
    </row>
    <row r="216" spans="6:16" ht="17.25" customHeight="1">
      <c r="F216" s="114"/>
      <c r="G216" s="114"/>
      <c r="H216" s="114"/>
      <c r="I216" s="114"/>
      <c r="J216" s="114"/>
      <c r="K216" s="114"/>
      <c r="L216" s="114"/>
      <c r="M216" s="114"/>
      <c r="N216" s="114"/>
      <c r="O216" s="114"/>
      <c r="P216" s="114"/>
    </row>
    <row r="217" spans="6:16" ht="17.25" customHeight="1">
      <c r="F217" s="114"/>
      <c r="G217" s="114"/>
      <c r="H217" s="114"/>
      <c r="I217" s="114"/>
      <c r="J217" s="114"/>
      <c r="K217" s="114"/>
      <c r="L217" s="114"/>
      <c r="M217" s="114"/>
      <c r="N217" s="114"/>
      <c r="O217" s="114"/>
      <c r="P217" s="114"/>
    </row>
    <row r="218" spans="6:16" ht="17.25" customHeight="1">
      <c r="F218" s="114"/>
      <c r="G218" s="114"/>
      <c r="H218" s="114"/>
      <c r="I218" s="114"/>
      <c r="J218" s="114"/>
      <c r="K218" s="114"/>
      <c r="L218" s="114"/>
      <c r="M218" s="114"/>
      <c r="N218" s="114"/>
      <c r="O218" s="114"/>
      <c r="P218" s="114"/>
    </row>
    <row r="219" spans="6:16" ht="17.25" customHeight="1">
      <c r="F219" s="114"/>
      <c r="G219" s="114"/>
      <c r="H219" s="114"/>
      <c r="I219" s="114"/>
      <c r="J219" s="114"/>
      <c r="K219" s="114"/>
      <c r="L219" s="114"/>
      <c r="M219" s="114"/>
      <c r="N219" s="114"/>
      <c r="O219" s="114"/>
      <c r="P219" s="114"/>
    </row>
    <row r="220" spans="6:16" ht="17.25" customHeight="1">
      <c r="F220" s="114"/>
      <c r="G220" s="114"/>
      <c r="H220" s="114"/>
      <c r="I220" s="114"/>
      <c r="J220" s="114"/>
      <c r="K220" s="114"/>
      <c r="L220" s="114"/>
      <c r="M220" s="114"/>
      <c r="N220" s="114"/>
      <c r="O220" s="114"/>
      <c r="P220" s="114"/>
    </row>
    <row r="221" spans="6:16" ht="17.25" customHeight="1">
      <c r="F221" s="114"/>
      <c r="G221" s="114"/>
      <c r="H221" s="114"/>
      <c r="I221" s="114"/>
      <c r="J221" s="114"/>
      <c r="K221" s="114"/>
      <c r="L221" s="114"/>
      <c r="M221" s="114"/>
      <c r="N221" s="114"/>
      <c r="O221" s="114"/>
      <c r="P221" s="114"/>
    </row>
    <row r="222" spans="6:16" ht="17.25" customHeight="1">
      <c r="F222" s="114"/>
      <c r="G222" s="114"/>
      <c r="H222" s="114"/>
      <c r="I222" s="114"/>
      <c r="J222" s="114"/>
      <c r="K222" s="114"/>
      <c r="L222" s="114"/>
      <c r="M222" s="114"/>
      <c r="N222" s="114"/>
      <c r="O222" s="114"/>
      <c r="P222" s="114"/>
    </row>
    <row r="223" spans="6:16" ht="17.25" customHeight="1">
      <c r="F223" s="114"/>
      <c r="G223" s="114"/>
      <c r="H223" s="114"/>
      <c r="I223" s="114"/>
      <c r="J223" s="114"/>
      <c r="K223" s="114"/>
      <c r="L223" s="114"/>
      <c r="M223" s="114"/>
      <c r="N223" s="114"/>
      <c r="O223" s="114"/>
      <c r="P223" s="114"/>
    </row>
    <row r="224" spans="6:16" ht="17.25" customHeight="1">
      <c r="F224" s="114"/>
      <c r="G224" s="114"/>
      <c r="H224" s="114"/>
      <c r="I224" s="114"/>
      <c r="J224" s="114"/>
      <c r="K224" s="114"/>
      <c r="L224" s="114"/>
      <c r="M224" s="114"/>
      <c r="N224" s="114"/>
      <c r="O224" s="114"/>
      <c r="P224" s="114"/>
    </row>
    <row r="225" spans="6:16" ht="17.25" customHeight="1">
      <c r="F225" s="114"/>
      <c r="G225" s="114"/>
      <c r="H225" s="114"/>
      <c r="I225" s="114"/>
      <c r="J225" s="114"/>
      <c r="K225" s="114"/>
      <c r="L225" s="114"/>
      <c r="M225" s="114"/>
      <c r="N225" s="114"/>
      <c r="O225" s="114"/>
      <c r="P225" s="114"/>
    </row>
    <row r="226" spans="6:16" ht="17.25" customHeight="1">
      <c r="F226" s="114"/>
      <c r="G226" s="114"/>
      <c r="H226" s="114"/>
      <c r="I226" s="114"/>
      <c r="J226" s="114"/>
      <c r="K226" s="114"/>
      <c r="L226" s="114"/>
      <c r="M226" s="114"/>
      <c r="N226" s="114"/>
      <c r="O226" s="114"/>
      <c r="P226" s="114"/>
    </row>
    <row r="227" spans="6:16" ht="17.25" customHeight="1">
      <c r="F227" s="114"/>
      <c r="G227" s="114"/>
      <c r="H227" s="114"/>
      <c r="I227" s="114"/>
      <c r="J227" s="114"/>
      <c r="K227" s="114"/>
      <c r="L227" s="114"/>
      <c r="M227" s="114"/>
      <c r="N227" s="114"/>
      <c r="O227" s="114"/>
      <c r="P227" s="114"/>
    </row>
    <row r="228" spans="6:16" ht="17.25" customHeight="1">
      <c r="F228" s="114"/>
      <c r="G228" s="114"/>
      <c r="H228" s="114"/>
      <c r="I228" s="114"/>
      <c r="J228" s="114"/>
      <c r="K228" s="114"/>
      <c r="L228" s="114"/>
      <c r="M228" s="114"/>
      <c r="N228" s="114"/>
      <c r="O228" s="114"/>
      <c r="P228" s="114"/>
    </row>
    <row r="229" spans="6:16" ht="17.25" customHeight="1">
      <c r="F229" s="114"/>
      <c r="G229" s="114"/>
      <c r="H229" s="114"/>
      <c r="I229" s="114"/>
      <c r="J229" s="114"/>
      <c r="K229" s="114"/>
      <c r="L229" s="114"/>
      <c r="M229" s="114"/>
      <c r="N229" s="114"/>
      <c r="O229" s="114"/>
      <c r="P229" s="114"/>
    </row>
    <row r="230" spans="6:16" ht="17.25" customHeight="1">
      <c r="F230" s="114"/>
      <c r="G230" s="114"/>
      <c r="H230" s="114"/>
      <c r="I230" s="114"/>
      <c r="J230" s="114"/>
      <c r="K230" s="114"/>
      <c r="L230" s="114"/>
      <c r="M230" s="114"/>
      <c r="N230" s="114"/>
      <c r="O230" s="114"/>
      <c r="P230" s="114"/>
    </row>
    <row r="231" spans="6:16" ht="17.25" customHeight="1">
      <c r="F231" s="114"/>
      <c r="G231" s="114"/>
      <c r="H231" s="114"/>
      <c r="I231" s="114"/>
      <c r="J231" s="114"/>
      <c r="K231" s="114"/>
      <c r="L231" s="114"/>
      <c r="M231" s="114"/>
      <c r="N231" s="114"/>
      <c r="O231" s="114"/>
      <c r="P231" s="114"/>
    </row>
    <row r="232" spans="6:16" ht="17.25" customHeight="1">
      <c r="F232" s="114"/>
      <c r="G232" s="114"/>
      <c r="H232" s="114"/>
      <c r="I232" s="114"/>
      <c r="J232" s="114"/>
      <c r="K232" s="114"/>
      <c r="L232" s="114"/>
      <c r="M232" s="114"/>
      <c r="N232" s="114"/>
      <c r="O232" s="114"/>
      <c r="P232" s="114"/>
    </row>
    <row r="233" spans="6:16" ht="17.25" customHeight="1">
      <c r="F233" s="114"/>
      <c r="G233" s="114"/>
      <c r="H233" s="114"/>
      <c r="I233" s="114"/>
      <c r="J233" s="114"/>
      <c r="K233" s="114"/>
      <c r="L233" s="114"/>
      <c r="M233" s="114"/>
      <c r="N233" s="114"/>
      <c r="O233" s="114"/>
      <c r="P233" s="114"/>
    </row>
    <row r="234" spans="6:16" ht="17.25" customHeight="1">
      <c r="F234" s="114"/>
      <c r="G234" s="114"/>
      <c r="H234" s="114"/>
      <c r="I234" s="114"/>
      <c r="J234" s="114"/>
      <c r="K234" s="114"/>
      <c r="L234" s="114"/>
      <c r="M234" s="114"/>
      <c r="N234" s="114"/>
      <c r="O234" s="114"/>
      <c r="P234" s="114"/>
    </row>
    <row r="235" spans="6:16" ht="17.25" customHeight="1">
      <c r="F235" s="114"/>
      <c r="G235" s="114"/>
      <c r="H235" s="114"/>
      <c r="I235" s="114"/>
      <c r="J235" s="114"/>
      <c r="K235" s="114"/>
      <c r="L235" s="114"/>
      <c r="M235" s="114"/>
      <c r="N235" s="114"/>
      <c r="O235" s="114"/>
      <c r="P235" s="114"/>
    </row>
    <row r="236" spans="6:16" ht="17.25" customHeight="1">
      <c r="F236" s="114"/>
      <c r="G236" s="114"/>
      <c r="H236" s="114"/>
      <c r="I236" s="114"/>
      <c r="J236" s="114"/>
      <c r="K236" s="114"/>
      <c r="L236" s="114"/>
      <c r="M236" s="114"/>
      <c r="N236" s="114"/>
      <c r="O236" s="114"/>
      <c r="P236" s="114"/>
    </row>
    <row r="237" spans="6:16" ht="17.25" customHeight="1">
      <c r="F237" s="114"/>
      <c r="G237" s="114"/>
      <c r="H237" s="114"/>
      <c r="I237" s="114"/>
      <c r="J237" s="114"/>
      <c r="K237" s="114"/>
      <c r="L237" s="114"/>
      <c r="M237" s="114"/>
      <c r="N237" s="114"/>
      <c r="O237" s="114"/>
      <c r="P237" s="114"/>
    </row>
    <row r="238" spans="6:16" ht="17.25" customHeight="1">
      <c r="F238" s="114"/>
      <c r="G238" s="114"/>
      <c r="H238" s="114"/>
      <c r="I238" s="114"/>
      <c r="J238" s="114"/>
      <c r="K238" s="114"/>
      <c r="L238" s="114"/>
      <c r="M238" s="114"/>
      <c r="N238" s="114"/>
      <c r="O238" s="114"/>
      <c r="P238" s="114"/>
    </row>
    <row r="239" spans="6:16" ht="17.25" customHeight="1">
      <c r="F239" s="114"/>
      <c r="G239" s="114"/>
      <c r="H239" s="114"/>
      <c r="I239" s="114"/>
      <c r="J239" s="114"/>
      <c r="K239" s="114"/>
      <c r="L239" s="114"/>
      <c r="M239" s="114"/>
      <c r="N239" s="114"/>
      <c r="O239" s="114"/>
      <c r="P239" s="114"/>
    </row>
    <row r="240" spans="6:16" ht="17.25" customHeight="1">
      <c r="F240" s="114"/>
      <c r="G240" s="114"/>
      <c r="H240" s="114"/>
      <c r="I240" s="114"/>
      <c r="J240" s="114"/>
      <c r="K240" s="114"/>
      <c r="L240" s="114"/>
      <c r="M240" s="114"/>
      <c r="N240" s="114"/>
      <c r="O240" s="114"/>
      <c r="P240" s="114"/>
    </row>
    <row r="241" spans="6:16" ht="17.25" customHeight="1">
      <c r="F241" s="114"/>
      <c r="G241" s="114"/>
      <c r="H241" s="114"/>
      <c r="I241" s="114"/>
      <c r="J241" s="114"/>
      <c r="K241" s="114"/>
      <c r="L241" s="114"/>
      <c r="M241" s="114"/>
      <c r="N241" s="114"/>
      <c r="O241" s="114"/>
      <c r="P241" s="114"/>
    </row>
    <row r="242" spans="6:16" ht="17.25" customHeight="1">
      <c r="F242" s="114"/>
      <c r="G242" s="114"/>
      <c r="H242" s="114"/>
      <c r="I242" s="114"/>
      <c r="J242" s="114"/>
      <c r="K242" s="114"/>
      <c r="L242" s="114"/>
      <c r="M242" s="114"/>
      <c r="N242" s="114"/>
      <c r="O242" s="114"/>
      <c r="P242" s="114"/>
    </row>
    <row r="243" spans="6:16" ht="17.25" customHeight="1">
      <c r="F243" s="114"/>
      <c r="G243" s="114"/>
      <c r="H243" s="114"/>
      <c r="I243" s="114"/>
      <c r="J243" s="114"/>
      <c r="K243" s="114"/>
      <c r="L243" s="114"/>
      <c r="M243" s="114"/>
      <c r="N243" s="114"/>
      <c r="O243" s="114"/>
      <c r="P243" s="114"/>
    </row>
    <row r="244" spans="6:16" ht="17.25" customHeight="1">
      <c r="F244" s="114"/>
      <c r="G244" s="114"/>
      <c r="H244" s="114"/>
      <c r="I244" s="114"/>
      <c r="J244" s="114"/>
      <c r="K244" s="114"/>
      <c r="L244" s="114"/>
      <c r="M244" s="114"/>
      <c r="N244" s="114"/>
      <c r="O244" s="114"/>
      <c r="P244" s="114"/>
    </row>
    <row r="245" spans="6:16" ht="17.25" customHeight="1">
      <c r="F245" s="114"/>
      <c r="G245" s="114"/>
      <c r="H245" s="114"/>
      <c r="I245" s="114"/>
      <c r="J245" s="114"/>
      <c r="K245" s="114"/>
      <c r="L245" s="114"/>
      <c r="M245" s="114"/>
      <c r="N245" s="114"/>
      <c r="O245" s="114"/>
      <c r="P245" s="114"/>
    </row>
    <row r="246" spans="6:16" ht="17.25" customHeight="1">
      <c r="F246" s="114"/>
      <c r="G246" s="114"/>
      <c r="H246" s="114"/>
      <c r="I246" s="114"/>
      <c r="J246" s="114"/>
      <c r="K246" s="114"/>
      <c r="L246" s="114"/>
      <c r="M246" s="114"/>
      <c r="N246" s="114"/>
      <c r="O246" s="114"/>
      <c r="P246" s="114"/>
    </row>
    <row r="247" spans="6:16" ht="17.25" customHeight="1">
      <c r="F247" s="114"/>
      <c r="G247" s="114"/>
      <c r="H247" s="114"/>
      <c r="I247" s="114"/>
      <c r="J247" s="114"/>
      <c r="K247" s="114"/>
      <c r="L247" s="114"/>
      <c r="M247" s="114"/>
      <c r="N247" s="114"/>
      <c r="O247" s="114"/>
      <c r="P247" s="114"/>
    </row>
    <row r="248" spans="6:16" ht="17.25" customHeight="1">
      <c r="F248" s="114"/>
      <c r="G248" s="114"/>
      <c r="H248" s="114"/>
      <c r="I248" s="114"/>
      <c r="J248" s="114"/>
      <c r="K248" s="114"/>
      <c r="L248" s="114"/>
      <c r="M248" s="114"/>
      <c r="N248" s="114"/>
      <c r="O248" s="114"/>
      <c r="P248" s="114"/>
    </row>
    <row r="249" spans="6:16" ht="17.25" customHeight="1">
      <c r="F249" s="114"/>
      <c r="G249" s="114"/>
      <c r="H249" s="114"/>
      <c r="I249" s="114"/>
      <c r="J249" s="114"/>
      <c r="K249" s="114"/>
      <c r="L249" s="114"/>
      <c r="M249" s="114"/>
      <c r="N249" s="114"/>
      <c r="O249" s="114"/>
      <c r="P249" s="114"/>
    </row>
    <row r="250" spans="6:16" ht="17.25" customHeight="1">
      <c r="F250" s="114"/>
      <c r="G250" s="114"/>
      <c r="H250" s="114"/>
      <c r="I250" s="114"/>
      <c r="J250" s="114"/>
      <c r="K250" s="114"/>
      <c r="L250" s="114"/>
      <c r="M250" s="114"/>
      <c r="N250" s="114"/>
      <c r="O250" s="114"/>
      <c r="P250" s="114"/>
    </row>
    <row r="251" spans="6:16" ht="17.25" customHeight="1">
      <c r="F251" s="114"/>
      <c r="G251" s="114"/>
      <c r="H251" s="114"/>
      <c r="I251" s="114"/>
      <c r="J251" s="114"/>
      <c r="K251" s="114"/>
      <c r="L251" s="114"/>
      <c r="M251" s="114"/>
      <c r="N251" s="114"/>
      <c r="O251" s="114"/>
      <c r="P251" s="114"/>
    </row>
    <row r="252" spans="6:16" ht="17.25" customHeight="1">
      <c r="F252" s="114"/>
      <c r="G252" s="114"/>
      <c r="H252" s="114"/>
      <c r="I252" s="114"/>
      <c r="J252" s="114"/>
      <c r="K252" s="114"/>
      <c r="L252" s="114"/>
      <c r="M252" s="114"/>
      <c r="N252" s="114"/>
      <c r="O252" s="114"/>
      <c r="P252" s="114"/>
    </row>
    <row r="253" spans="6:16" ht="17.25" customHeight="1">
      <c r="F253" s="114"/>
      <c r="G253" s="114"/>
      <c r="H253" s="114"/>
      <c r="I253" s="114"/>
      <c r="J253" s="114"/>
      <c r="K253" s="114"/>
      <c r="L253" s="114"/>
      <c r="M253" s="114"/>
      <c r="N253" s="114"/>
      <c r="O253" s="114"/>
      <c r="P253" s="114"/>
    </row>
    <row r="254" spans="6:16" ht="17.25" customHeight="1">
      <c r="F254" s="114"/>
      <c r="G254" s="114"/>
      <c r="H254" s="114"/>
      <c r="I254" s="114"/>
      <c r="J254" s="114"/>
      <c r="K254" s="114"/>
      <c r="L254" s="114"/>
      <c r="M254" s="114"/>
      <c r="N254" s="114"/>
      <c r="O254" s="114"/>
      <c r="P254" s="114"/>
    </row>
    <row r="255" spans="6:16" ht="17.25" customHeight="1">
      <c r="F255" s="114"/>
      <c r="G255" s="114"/>
      <c r="H255" s="114"/>
      <c r="I255" s="114"/>
      <c r="J255" s="114"/>
      <c r="K255" s="114"/>
      <c r="L255" s="114"/>
      <c r="M255" s="114"/>
      <c r="N255" s="114"/>
      <c r="O255" s="114"/>
      <c r="P255" s="114"/>
    </row>
    <row r="256" spans="6:16" ht="17.25" customHeight="1">
      <c r="F256" s="114"/>
      <c r="G256" s="114"/>
      <c r="H256" s="114"/>
      <c r="I256" s="114"/>
      <c r="J256" s="114"/>
      <c r="K256" s="114"/>
      <c r="L256" s="114"/>
      <c r="M256" s="114"/>
      <c r="N256" s="114"/>
      <c r="O256" s="114"/>
      <c r="P256" s="114"/>
    </row>
    <row r="257" spans="6:16" ht="17.25" customHeight="1">
      <c r="F257" s="114"/>
      <c r="G257" s="114"/>
      <c r="H257" s="114"/>
      <c r="I257" s="114"/>
      <c r="J257" s="114"/>
      <c r="K257" s="114"/>
      <c r="L257" s="114"/>
      <c r="M257" s="114"/>
      <c r="N257" s="114"/>
      <c r="O257" s="114"/>
      <c r="P257" s="114"/>
    </row>
    <row r="258" spans="6:16" ht="17.25" customHeight="1">
      <c r="F258" s="114"/>
      <c r="G258" s="114"/>
      <c r="H258" s="114"/>
      <c r="I258" s="114"/>
      <c r="J258" s="114"/>
      <c r="K258" s="114"/>
      <c r="L258" s="114"/>
      <c r="M258" s="114"/>
      <c r="N258" s="114"/>
      <c r="O258" s="114"/>
      <c r="P258" s="114"/>
    </row>
    <row r="259" spans="6:16" ht="17.25" customHeight="1">
      <c r="F259" s="114"/>
      <c r="G259" s="114"/>
      <c r="H259" s="114"/>
      <c r="I259" s="114"/>
      <c r="J259" s="114"/>
      <c r="K259" s="114"/>
      <c r="L259" s="114"/>
      <c r="M259" s="114"/>
      <c r="N259" s="114"/>
      <c r="O259" s="114"/>
      <c r="P259" s="114"/>
    </row>
    <row r="260" spans="6:16" ht="17.25" customHeight="1">
      <c r="F260" s="114"/>
      <c r="G260" s="114"/>
      <c r="H260" s="114"/>
      <c r="I260" s="114"/>
      <c r="J260" s="114"/>
      <c r="K260" s="114"/>
      <c r="L260" s="114"/>
      <c r="M260" s="114"/>
      <c r="N260" s="114"/>
      <c r="O260" s="114"/>
      <c r="P260" s="114"/>
    </row>
    <row r="261" spans="6:16" ht="17.25" customHeight="1">
      <c r="F261" s="114"/>
      <c r="G261" s="114"/>
      <c r="H261" s="114"/>
      <c r="I261" s="114"/>
      <c r="J261" s="114"/>
      <c r="K261" s="114"/>
      <c r="L261" s="114"/>
      <c r="M261" s="114"/>
      <c r="N261" s="114"/>
      <c r="O261" s="114"/>
      <c r="P261" s="114"/>
    </row>
    <row r="262" spans="6:16" ht="17.25" customHeight="1">
      <c r="F262" s="114"/>
      <c r="G262" s="114"/>
      <c r="H262" s="114"/>
      <c r="I262" s="114"/>
      <c r="J262" s="114"/>
      <c r="K262" s="114"/>
      <c r="L262" s="114"/>
      <c r="M262" s="114"/>
      <c r="N262" s="114"/>
      <c r="O262" s="114"/>
      <c r="P262" s="114"/>
    </row>
    <row r="263" spans="6:16" ht="17.25" customHeight="1">
      <c r="F263" s="114"/>
      <c r="G263" s="114"/>
      <c r="H263" s="114"/>
      <c r="I263" s="114"/>
      <c r="J263" s="114"/>
      <c r="K263" s="114"/>
      <c r="L263" s="114"/>
      <c r="M263" s="114"/>
      <c r="N263" s="114"/>
      <c r="O263" s="114"/>
      <c r="P263" s="114"/>
    </row>
    <row r="264" spans="6:16" ht="17.25" customHeight="1">
      <c r="F264" s="114"/>
      <c r="G264" s="114"/>
      <c r="H264" s="114"/>
      <c r="I264" s="114"/>
      <c r="J264" s="114"/>
      <c r="K264" s="114"/>
      <c r="L264" s="114"/>
      <c r="M264" s="114"/>
      <c r="N264" s="114"/>
      <c r="O264" s="114"/>
      <c r="P264" s="114"/>
    </row>
    <row r="265" spans="6:16" ht="17.25" customHeight="1">
      <c r="F265" s="114"/>
      <c r="G265" s="114"/>
      <c r="H265" s="114"/>
      <c r="I265" s="114"/>
      <c r="J265" s="114"/>
      <c r="K265" s="114"/>
      <c r="L265" s="114"/>
      <c r="M265" s="114"/>
      <c r="N265" s="114"/>
      <c r="O265" s="114"/>
      <c r="P265" s="114"/>
    </row>
    <row r="266" spans="6:16" ht="17.25" customHeight="1">
      <c r="F266" s="114"/>
      <c r="G266" s="114"/>
      <c r="H266" s="114"/>
      <c r="I266" s="114"/>
      <c r="J266" s="114"/>
      <c r="K266" s="114"/>
      <c r="L266" s="114"/>
      <c r="M266" s="114"/>
      <c r="N266" s="114"/>
      <c r="O266" s="114"/>
      <c r="P266" s="114"/>
    </row>
    <row r="267" spans="6:16" ht="17.25" customHeight="1">
      <c r="F267" s="114"/>
      <c r="G267" s="114"/>
      <c r="H267" s="114"/>
      <c r="I267" s="114"/>
      <c r="J267" s="114"/>
      <c r="K267" s="114"/>
      <c r="L267" s="114"/>
      <c r="M267" s="114"/>
      <c r="N267" s="114"/>
      <c r="O267" s="114"/>
      <c r="P267" s="114"/>
    </row>
    <row r="268" spans="6:16" ht="17.25" customHeight="1">
      <c r="F268" s="114"/>
      <c r="G268" s="114"/>
      <c r="H268" s="114"/>
      <c r="I268" s="114"/>
      <c r="J268" s="114"/>
      <c r="K268" s="114"/>
      <c r="L268" s="114"/>
      <c r="M268" s="114"/>
      <c r="N268" s="114"/>
      <c r="O268" s="114"/>
      <c r="P268" s="114"/>
    </row>
    <row r="269" spans="6:16" ht="17.25" customHeight="1">
      <c r="F269" s="114"/>
      <c r="G269" s="114"/>
      <c r="H269" s="114"/>
      <c r="I269" s="114"/>
      <c r="J269" s="114"/>
      <c r="K269" s="114"/>
      <c r="L269" s="114"/>
      <c r="M269" s="114"/>
      <c r="N269" s="114"/>
      <c r="O269" s="114"/>
      <c r="P269" s="114"/>
    </row>
    <row r="270" spans="6:16" ht="17.25" customHeight="1">
      <c r="F270" s="114"/>
      <c r="G270" s="114"/>
      <c r="H270" s="114"/>
      <c r="I270" s="114"/>
      <c r="J270" s="114"/>
      <c r="K270" s="114"/>
      <c r="L270" s="114"/>
      <c r="M270" s="114"/>
      <c r="N270" s="114"/>
      <c r="O270" s="114"/>
      <c r="P270" s="114"/>
    </row>
    <row r="271" spans="6:16" ht="17.25" customHeight="1">
      <c r="F271" s="114"/>
      <c r="G271" s="114"/>
      <c r="H271" s="114"/>
      <c r="I271" s="114"/>
      <c r="J271" s="114"/>
      <c r="K271" s="114"/>
      <c r="L271" s="114"/>
      <c r="M271" s="114"/>
      <c r="N271" s="114"/>
      <c r="O271" s="114"/>
      <c r="P271" s="114"/>
    </row>
    <row r="272" spans="6:16" ht="17.25" customHeight="1">
      <c r="F272" s="114"/>
      <c r="G272" s="114"/>
      <c r="H272" s="114"/>
      <c r="I272" s="114"/>
      <c r="J272" s="114"/>
      <c r="K272" s="114"/>
      <c r="L272" s="114"/>
      <c r="M272" s="114"/>
      <c r="N272" s="114"/>
      <c r="O272" s="114"/>
      <c r="P272" s="114"/>
    </row>
    <row r="273" spans="6:16" ht="17.25" customHeight="1">
      <c r="F273" s="114"/>
      <c r="G273" s="114"/>
      <c r="H273" s="114"/>
      <c r="I273" s="114"/>
      <c r="J273" s="114"/>
      <c r="K273" s="114"/>
      <c r="L273" s="114"/>
      <c r="M273" s="114"/>
      <c r="N273" s="114"/>
      <c r="O273" s="114"/>
      <c r="P273" s="114"/>
    </row>
    <row r="274" spans="6:16" ht="17.25" customHeight="1">
      <c r="F274" s="114"/>
      <c r="G274" s="114"/>
      <c r="H274" s="114"/>
      <c r="I274" s="114"/>
      <c r="J274" s="114"/>
      <c r="K274" s="114"/>
      <c r="L274" s="114"/>
      <c r="M274" s="114"/>
      <c r="N274" s="114"/>
      <c r="O274" s="114"/>
      <c r="P274" s="114"/>
    </row>
    <row r="275" spans="6:16" ht="17.25" customHeight="1">
      <c r="F275" s="114"/>
      <c r="G275" s="114"/>
      <c r="H275" s="114"/>
      <c r="I275" s="114"/>
      <c r="J275" s="114"/>
      <c r="K275" s="114"/>
      <c r="L275" s="114"/>
      <c r="M275" s="114"/>
      <c r="N275" s="114"/>
      <c r="O275" s="114"/>
      <c r="P275" s="114"/>
    </row>
    <row r="276" spans="6:16" ht="17.25" customHeight="1">
      <c r="F276" s="114"/>
      <c r="G276" s="114"/>
      <c r="H276" s="114"/>
      <c r="I276" s="114"/>
      <c r="J276" s="114"/>
      <c r="K276" s="114"/>
      <c r="L276" s="114"/>
      <c r="M276" s="114"/>
      <c r="N276" s="114"/>
      <c r="O276" s="114"/>
      <c r="P276" s="114"/>
    </row>
    <row r="277" spans="6:16" ht="17.25" customHeight="1">
      <c r="F277" s="114"/>
      <c r="G277" s="114"/>
      <c r="H277" s="114"/>
      <c r="I277" s="114"/>
      <c r="J277" s="114"/>
      <c r="K277" s="114"/>
      <c r="L277" s="114"/>
      <c r="M277" s="114"/>
      <c r="N277" s="114"/>
      <c r="O277" s="114"/>
      <c r="P277" s="114"/>
    </row>
    <row r="278" spans="6:16" ht="17.25" customHeight="1">
      <c r="F278" s="114"/>
      <c r="G278" s="114"/>
      <c r="H278" s="114"/>
      <c r="I278" s="114"/>
      <c r="J278" s="114"/>
      <c r="K278" s="114"/>
      <c r="L278" s="114"/>
      <c r="M278" s="114"/>
      <c r="N278" s="114"/>
      <c r="O278" s="114"/>
      <c r="P278" s="114"/>
    </row>
    <row r="279" spans="6:16" ht="17.25" customHeight="1">
      <c r="F279" s="114"/>
      <c r="G279" s="114"/>
      <c r="H279" s="114"/>
      <c r="I279" s="114"/>
      <c r="J279" s="114"/>
      <c r="K279" s="114"/>
      <c r="L279" s="114"/>
      <c r="M279" s="114"/>
      <c r="N279" s="114"/>
      <c r="O279" s="114"/>
      <c r="P279" s="114"/>
    </row>
    <row r="280" spans="6:16" ht="17.25" customHeight="1">
      <c r="F280" s="114"/>
      <c r="G280" s="114"/>
      <c r="H280" s="114"/>
      <c r="I280" s="114"/>
      <c r="J280" s="114"/>
      <c r="K280" s="114"/>
      <c r="L280" s="114"/>
      <c r="M280" s="114"/>
      <c r="N280" s="114"/>
      <c r="O280" s="114"/>
      <c r="P280" s="114"/>
    </row>
    <row r="281" spans="6:16" ht="17.25" customHeight="1">
      <c r="F281" s="114"/>
      <c r="G281" s="114"/>
      <c r="H281" s="114"/>
      <c r="I281" s="114"/>
      <c r="J281" s="114"/>
      <c r="K281" s="114"/>
      <c r="L281" s="114"/>
      <c r="M281" s="114"/>
      <c r="N281" s="114"/>
      <c r="O281" s="114"/>
      <c r="P281" s="114"/>
    </row>
    <row r="282" spans="6:16" ht="17.25" customHeight="1">
      <c r="F282" s="114"/>
      <c r="G282" s="114"/>
      <c r="H282" s="114"/>
      <c r="I282" s="114"/>
      <c r="J282" s="114"/>
      <c r="K282" s="114"/>
      <c r="L282" s="114"/>
      <c r="M282" s="114"/>
      <c r="N282" s="114"/>
      <c r="O282" s="114"/>
      <c r="P282" s="114"/>
    </row>
    <row r="283" spans="6:16" ht="17.25" customHeight="1">
      <c r="F283" s="114"/>
      <c r="G283" s="114"/>
      <c r="H283" s="114"/>
      <c r="I283" s="114"/>
      <c r="J283" s="114"/>
      <c r="K283" s="114"/>
      <c r="L283" s="114"/>
      <c r="M283" s="114"/>
      <c r="N283" s="114"/>
      <c r="O283" s="114"/>
      <c r="P283" s="114"/>
    </row>
    <row r="284" spans="6:16" ht="17.25" customHeight="1">
      <c r="F284" s="114"/>
      <c r="G284" s="114"/>
      <c r="H284" s="114"/>
      <c r="I284" s="114"/>
      <c r="J284" s="114"/>
      <c r="K284" s="114"/>
      <c r="L284" s="114"/>
      <c r="M284" s="114"/>
      <c r="N284" s="114"/>
      <c r="O284" s="114"/>
      <c r="P284" s="114"/>
    </row>
    <row r="285" spans="6:16" ht="17.25" customHeight="1">
      <c r="F285" s="114"/>
      <c r="G285" s="114"/>
      <c r="H285" s="114"/>
      <c r="I285" s="114"/>
      <c r="J285" s="114"/>
      <c r="K285" s="114"/>
      <c r="L285" s="114"/>
      <c r="M285" s="114"/>
      <c r="N285" s="114"/>
      <c r="O285" s="114"/>
      <c r="P285" s="114"/>
    </row>
    <row r="286" spans="6:16" ht="17.25" customHeight="1">
      <c r="F286" s="114"/>
      <c r="G286" s="114"/>
      <c r="H286" s="114"/>
      <c r="I286" s="114"/>
      <c r="J286" s="114"/>
      <c r="K286" s="114"/>
      <c r="L286" s="114"/>
      <c r="M286" s="114"/>
      <c r="N286" s="114"/>
      <c r="O286" s="114"/>
      <c r="P286" s="114"/>
    </row>
    <row r="287" spans="6:16" ht="17.25" customHeight="1">
      <c r="F287" s="114"/>
      <c r="G287" s="114"/>
      <c r="H287" s="114"/>
      <c r="I287" s="114"/>
      <c r="J287" s="114"/>
      <c r="K287" s="114"/>
      <c r="L287" s="114"/>
      <c r="M287" s="114"/>
      <c r="N287" s="114"/>
      <c r="O287" s="114"/>
      <c r="P287" s="114"/>
    </row>
    <row r="288" spans="6:16" ht="17.25" customHeight="1">
      <c r="F288" s="114"/>
      <c r="G288" s="114"/>
      <c r="H288" s="114"/>
      <c r="I288" s="114"/>
      <c r="J288" s="114"/>
      <c r="K288" s="114"/>
      <c r="L288" s="114"/>
      <c r="M288" s="114"/>
      <c r="N288" s="114"/>
      <c r="O288" s="114"/>
      <c r="P288" s="114"/>
    </row>
    <row r="289" spans="6:16" ht="17.25" customHeight="1">
      <c r="F289" s="114"/>
      <c r="G289" s="114"/>
      <c r="H289" s="114"/>
      <c r="I289" s="114"/>
      <c r="J289" s="114"/>
      <c r="K289" s="114"/>
      <c r="L289" s="114"/>
      <c r="M289" s="114"/>
      <c r="N289" s="114"/>
      <c r="O289" s="114"/>
      <c r="P289" s="114"/>
    </row>
    <row r="290" spans="6:16" ht="17.25" customHeight="1">
      <c r="F290" s="114"/>
      <c r="G290" s="114"/>
      <c r="H290" s="114"/>
      <c r="I290" s="114"/>
      <c r="J290" s="114"/>
      <c r="K290" s="114"/>
      <c r="L290" s="114"/>
      <c r="M290" s="114"/>
      <c r="N290" s="114"/>
      <c r="O290" s="114"/>
      <c r="P290" s="114"/>
    </row>
    <row r="291" spans="6:16" ht="17.25" customHeight="1">
      <c r="F291" s="114"/>
      <c r="G291" s="114"/>
      <c r="H291" s="114"/>
      <c r="I291" s="114"/>
      <c r="J291" s="114"/>
      <c r="K291" s="114"/>
      <c r="L291" s="114"/>
      <c r="M291" s="114"/>
      <c r="N291" s="114"/>
      <c r="O291" s="114"/>
      <c r="P291" s="114"/>
    </row>
    <row r="292" spans="6:16" ht="17.25" customHeight="1">
      <c r="F292" s="114"/>
      <c r="G292" s="114"/>
      <c r="H292" s="114"/>
      <c r="I292" s="114"/>
      <c r="J292" s="114"/>
      <c r="K292" s="114"/>
      <c r="L292" s="114"/>
      <c r="M292" s="114"/>
      <c r="N292" s="114"/>
      <c r="O292" s="114"/>
      <c r="P292" s="114"/>
    </row>
    <row r="293" spans="6:16" ht="17.25" customHeight="1">
      <c r="F293" s="114"/>
      <c r="G293" s="114"/>
      <c r="H293" s="114"/>
      <c r="I293" s="114"/>
      <c r="J293" s="114"/>
      <c r="K293" s="114"/>
      <c r="L293" s="114"/>
      <c r="M293" s="114"/>
      <c r="N293" s="114"/>
      <c r="O293" s="114"/>
      <c r="P293" s="114"/>
    </row>
    <row r="294" spans="6:16" ht="17.25" customHeight="1">
      <c r="F294" s="114"/>
      <c r="G294" s="114"/>
      <c r="H294" s="114"/>
      <c r="I294" s="114"/>
      <c r="J294" s="114"/>
      <c r="K294" s="114"/>
      <c r="L294" s="114"/>
      <c r="M294" s="114"/>
      <c r="N294" s="114"/>
      <c r="O294" s="114"/>
      <c r="P294" s="114"/>
    </row>
    <row r="295" spans="6:16" ht="17.25" customHeight="1">
      <c r="F295" s="114"/>
      <c r="G295" s="114"/>
      <c r="H295" s="114"/>
      <c r="I295" s="114"/>
      <c r="J295" s="114"/>
      <c r="K295" s="114"/>
      <c r="L295" s="114"/>
      <c r="M295" s="114"/>
      <c r="N295" s="114"/>
      <c r="O295" s="114"/>
      <c r="P295" s="114"/>
    </row>
    <row r="296" spans="6:16" ht="17.25" customHeight="1">
      <c r="F296" s="114"/>
      <c r="G296" s="114"/>
      <c r="H296" s="114"/>
      <c r="I296" s="114"/>
      <c r="J296" s="114"/>
      <c r="K296" s="114"/>
      <c r="L296" s="114"/>
      <c r="M296" s="114"/>
      <c r="N296" s="114"/>
      <c r="O296" s="114"/>
      <c r="P296" s="114"/>
    </row>
    <row r="297" spans="6:16" ht="17.25" customHeight="1">
      <c r="F297" s="114"/>
      <c r="G297" s="114"/>
      <c r="H297" s="114"/>
      <c r="I297" s="114"/>
      <c r="J297" s="114"/>
      <c r="K297" s="114"/>
      <c r="L297" s="114"/>
      <c r="M297" s="114"/>
      <c r="N297" s="114"/>
      <c r="O297" s="114"/>
      <c r="P297" s="114"/>
    </row>
    <row r="298" spans="6:16" ht="17.25" customHeight="1">
      <c r="F298" s="114"/>
      <c r="G298" s="114"/>
      <c r="H298" s="114"/>
      <c r="I298" s="114"/>
      <c r="J298" s="114"/>
      <c r="K298" s="114"/>
      <c r="L298" s="114"/>
      <c r="M298" s="114"/>
      <c r="N298" s="114"/>
      <c r="O298" s="114"/>
      <c r="P298" s="114"/>
    </row>
    <row r="299" spans="6:16" ht="17.25" customHeight="1">
      <c r="F299" s="114"/>
      <c r="G299" s="114"/>
      <c r="H299" s="114"/>
      <c r="I299" s="114"/>
      <c r="J299" s="114"/>
      <c r="K299" s="114"/>
      <c r="L299" s="114"/>
      <c r="M299" s="114"/>
      <c r="N299" s="114"/>
      <c r="O299" s="114"/>
      <c r="P299" s="114"/>
    </row>
    <row r="300" spans="6:16" ht="17.25" customHeight="1">
      <c r="F300" s="114"/>
      <c r="G300" s="114"/>
      <c r="H300" s="114"/>
      <c r="I300" s="114"/>
      <c r="J300" s="114"/>
      <c r="K300" s="114"/>
      <c r="L300" s="114"/>
      <c r="M300" s="114"/>
      <c r="N300" s="114"/>
      <c r="O300" s="114"/>
      <c r="P300" s="114"/>
    </row>
    <row r="301" spans="6:16" ht="17.25" customHeight="1">
      <c r="F301" s="114"/>
      <c r="G301" s="114"/>
      <c r="H301" s="114"/>
      <c r="I301" s="114"/>
      <c r="J301" s="114"/>
      <c r="K301" s="114"/>
      <c r="L301" s="114"/>
      <c r="M301" s="114"/>
      <c r="N301" s="114"/>
      <c r="O301" s="114"/>
      <c r="P301" s="114"/>
    </row>
    <row r="302" spans="6:16" ht="17.25" customHeight="1">
      <c r="F302" s="114"/>
      <c r="G302" s="114"/>
      <c r="H302" s="114"/>
      <c r="I302" s="114"/>
      <c r="J302" s="114"/>
      <c r="K302" s="114"/>
      <c r="L302" s="114"/>
      <c r="M302" s="114"/>
      <c r="N302" s="114"/>
      <c r="O302" s="114"/>
      <c r="P302" s="114"/>
    </row>
    <row r="303" spans="6:16" ht="17.25" customHeight="1">
      <c r="F303" s="114"/>
      <c r="G303" s="114"/>
      <c r="H303" s="114"/>
      <c r="I303" s="114"/>
      <c r="J303" s="114"/>
      <c r="K303" s="114"/>
      <c r="L303" s="114"/>
      <c r="M303" s="114"/>
      <c r="N303" s="114"/>
      <c r="O303" s="114"/>
      <c r="P303" s="114"/>
    </row>
    <row r="304" spans="6:16" ht="17.25" customHeight="1">
      <c r="F304" s="114"/>
      <c r="G304" s="114"/>
      <c r="H304" s="114"/>
      <c r="I304" s="114"/>
      <c r="J304" s="114"/>
      <c r="K304" s="114"/>
      <c r="L304" s="114"/>
      <c r="M304" s="114"/>
      <c r="N304" s="114"/>
      <c r="O304" s="114"/>
      <c r="P304" s="114"/>
    </row>
    <row r="305" spans="6:16" ht="17.25" customHeight="1">
      <c r="F305" s="114"/>
      <c r="G305" s="114"/>
      <c r="H305" s="114"/>
      <c r="I305" s="114"/>
      <c r="J305" s="114"/>
      <c r="K305" s="114"/>
      <c r="L305" s="114"/>
      <c r="M305" s="114"/>
      <c r="N305" s="114"/>
      <c r="O305" s="114"/>
      <c r="P305" s="114"/>
    </row>
    <row r="306" spans="6:16" ht="17.25" customHeight="1">
      <c r="F306" s="114"/>
      <c r="G306" s="114"/>
      <c r="H306" s="114"/>
      <c r="I306" s="114"/>
      <c r="J306" s="114"/>
      <c r="K306" s="114"/>
      <c r="L306" s="114"/>
      <c r="M306" s="114"/>
      <c r="N306" s="114"/>
      <c r="O306" s="114"/>
      <c r="P306" s="114"/>
    </row>
    <row r="307" spans="6:16" ht="17.25" customHeight="1">
      <c r="F307" s="114"/>
      <c r="G307" s="114"/>
      <c r="H307" s="114"/>
      <c r="I307" s="114"/>
      <c r="J307" s="114"/>
      <c r="K307" s="114"/>
      <c r="L307" s="114"/>
      <c r="M307" s="114"/>
      <c r="N307" s="114"/>
      <c r="O307" s="114"/>
      <c r="P307" s="114"/>
    </row>
    <row r="308" spans="6:16" ht="17.25" customHeight="1">
      <c r="F308" s="114"/>
      <c r="G308" s="114"/>
      <c r="H308" s="114"/>
      <c r="I308" s="114"/>
      <c r="J308" s="114"/>
      <c r="K308" s="114"/>
      <c r="L308" s="114"/>
      <c r="M308" s="114"/>
      <c r="N308" s="114"/>
      <c r="O308" s="114"/>
      <c r="P308" s="114"/>
    </row>
    <row r="309" spans="6:16" ht="17.25" customHeight="1">
      <c r="F309" s="114"/>
      <c r="G309" s="114"/>
      <c r="H309" s="114"/>
      <c r="I309" s="114"/>
      <c r="J309" s="114"/>
      <c r="K309" s="114"/>
      <c r="L309" s="114"/>
      <c r="M309" s="114"/>
      <c r="N309" s="114"/>
      <c r="O309" s="114"/>
      <c r="P309" s="114"/>
    </row>
    <row r="310" spans="6:16" ht="17.25" customHeight="1">
      <c r="F310" s="114"/>
      <c r="G310" s="114"/>
      <c r="H310" s="114"/>
      <c r="I310" s="114"/>
      <c r="J310" s="114"/>
      <c r="K310" s="114"/>
      <c r="L310" s="114"/>
      <c r="M310" s="114"/>
      <c r="N310" s="114"/>
      <c r="O310" s="114"/>
      <c r="P310" s="114"/>
    </row>
    <row r="311" spans="6:16" ht="17.25" customHeight="1">
      <c r="F311" s="114"/>
      <c r="G311" s="114"/>
      <c r="H311" s="114"/>
      <c r="I311" s="114"/>
      <c r="J311" s="114"/>
      <c r="K311" s="114"/>
      <c r="L311" s="114"/>
      <c r="M311" s="114"/>
      <c r="N311" s="114"/>
      <c r="O311" s="114"/>
      <c r="P311" s="114"/>
    </row>
    <row r="312" spans="6:16" ht="17.25" customHeight="1">
      <c r="F312" s="114"/>
      <c r="G312" s="114"/>
      <c r="H312" s="114"/>
      <c r="I312" s="114"/>
      <c r="J312" s="114"/>
      <c r="K312" s="114"/>
      <c r="L312" s="114"/>
      <c r="M312" s="114"/>
      <c r="N312" s="114"/>
      <c r="O312" s="114"/>
      <c r="P312" s="114"/>
    </row>
    <row r="313" spans="6:16" ht="17.25" customHeight="1">
      <c r="F313" s="114"/>
      <c r="G313" s="114"/>
      <c r="H313" s="114"/>
      <c r="I313" s="114"/>
      <c r="J313" s="114"/>
      <c r="K313" s="114"/>
      <c r="L313" s="114"/>
      <c r="M313" s="114"/>
      <c r="N313" s="114"/>
      <c r="O313" s="114"/>
      <c r="P313" s="114"/>
    </row>
    <row r="314" spans="6:16" ht="17.25" customHeight="1">
      <c r="F314" s="114"/>
      <c r="G314" s="114"/>
      <c r="H314" s="114"/>
      <c r="I314" s="114"/>
      <c r="J314" s="114"/>
      <c r="K314" s="114"/>
      <c r="L314" s="114"/>
      <c r="M314" s="114"/>
      <c r="N314" s="114"/>
      <c r="O314" s="114"/>
      <c r="P314" s="114"/>
    </row>
    <row r="315" spans="6:16" ht="17.25" customHeight="1">
      <c r="F315" s="114"/>
      <c r="G315" s="114"/>
      <c r="H315" s="114"/>
      <c r="I315" s="114"/>
      <c r="J315" s="114"/>
      <c r="K315" s="114"/>
      <c r="L315" s="114"/>
      <c r="M315" s="114"/>
      <c r="N315" s="114"/>
      <c r="O315" s="114"/>
      <c r="P315" s="114"/>
    </row>
    <row r="316" spans="6:16" ht="17.25" customHeight="1">
      <c r="F316" s="114"/>
      <c r="G316" s="114"/>
      <c r="H316" s="114"/>
      <c r="I316" s="114"/>
      <c r="J316" s="114"/>
      <c r="K316" s="114"/>
      <c r="L316" s="114"/>
      <c r="M316" s="114"/>
      <c r="N316" s="114"/>
      <c r="O316" s="114"/>
      <c r="P316" s="114"/>
    </row>
    <row r="317" spans="6:16" ht="17.25" customHeight="1">
      <c r="F317" s="114"/>
      <c r="G317" s="114"/>
      <c r="H317" s="114"/>
      <c r="I317" s="114"/>
      <c r="J317" s="114"/>
      <c r="K317" s="114"/>
      <c r="L317" s="114"/>
      <c r="M317" s="114"/>
      <c r="N317" s="114"/>
      <c r="O317" s="114"/>
      <c r="P317" s="114"/>
    </row>
    <row r="318" spans="6:16" ht="17.25" customHeight="1">
      <c r="F318" s="114"/>
      <c r="G318" s="114"/>
      <c r="H318" s="114"/>
      <c r="I318" s="114"/>
      <c r="J318" s="114"/>
      <c r="K318" s="114"/>
      <c r="L318" s="114"/>
      <c r="M318" s="114"/>
      <c r="N318" s="114"/>
      <c r="O318" s="114"/>
      <c r="P318" s="114"/>
    </row>
    <row r="319" spans="6:16" ht="17.25" customHeight="1">
      <c r="F319" s="114"/>
      <c r="G319" s="114"/>
      <c r="H319" s="114"/>
      <c r="I319" s="114"/>
      <c r="J319" s="114"/>
      <c r="K319" s="114"/>
      <c r="L319" s="114"/>
      <c r="M319" s="114"/>
      <c r="N319" s="114"/>
      <c r="O319" s="114"/>
      <c r="P319" s="114"/>
    </row>
    <row r="320" spans="6:16" ht="17.25" customHeight="1">
      <c r="F320" s="114"/>
      <c r="G320" s="114"/>
      <c r="H320" s="114"/>
      <c r="I320" s="114"/>
      <c r="J320" s="114"/>
      <c r="K320" s="114"/>
      <c r="L320" s="114"/>
      <c r="M320" s="114"/>
      <c r="N320" s="114"/>
      <c r="O320" s="114"/>
      <c r="P320" s="114"/>
    </row>
    <row r="321" spans="6:16" ht="17.25" customHeight="1">
      <c r="F321" s="114"/>
      <c r="G321" s="114"/>
      <c r="H321" s="114"/>
      <c r="I321" s="114"/>
      <c r="J321" s="114"/>
      <c r="K321" s="114"/>
      <c r="L321" s="114"/>
      <c r="M321" s="114"/>
      <c r="N321" s="114"/>
      <c r="O321" s="114"/>
      <c r="P321" s="114"/>
    </row>
    <row r="322" spans="6:16" ht="17.25" customHeight="1">
      <c r="F322" s="114"/>
      <c r="G322" s="114"/>
      <c r="H322" s="114"/>
      <c r="I322" s="114"/>
      <c r="J322" s="114"/>
      <c r="K322" s="114"/>
      <c r="L322" s="114"/>
      <c r="M322" s="114"/>
      <c r="N322" s="114"/>
      <c r="O322" s="114"/>
      <c r="P322" s="114"/>
    </row>
    <row r="323" spans="6:16" ht="17.25" customHeight="1">
      <c r="F323" s="114"/>
      <c r="G323" s="114"/>
      <c r="H323" s="114"/>
      <c r="I323" s="114"/>
      <c r="J323" s="114"/>
      <c r="K323" s="114"/>
      <c r="L323" s="114"/>
      <c r="M323" s="114"/>
      <c r="N323" s="114"/>
      <c r="O323" s="114"/>
      <c r="P323" s="114"/>
    </row>
    <row r="324" spans="6:16" ht="17.25" customHeight="1">
      <c r="F324" s="114"/>
      <c r="G324" s="114"/>
      <c r="H324" s="114"/>
      <c r="I324" s="114"/>
      <c r="J324" s="114"/>
      <c r="K324" s="114"/>
      <c r="L324" s="114"/>
      <c r="M324" s="114"/>
      <c r="N324" s="114"/>
      <c r="O324" s="114"/>
      <c r="P324" s="114"/>
    </row>
    <row r="325" spans="6:16" ht="17.25" customHeight="1">
      <c r="F325" s="114"/>
      <c r="G325" s="114"/>
      <c r="H325" s="114"/>
      <c r="I325" s="114"/>
      <c r="J325" s="114"/>
      <c r="K325" s="114"/>
      <c r="L325" s="114"/>
      <c r="M325" s="114"/>
      <c r="N325" s="114"/>
      <c r="O325" s="114"/>
      <c r="P325" s="114"/>
    </row>
    <row r="326" spans="6:16" ht="17.25" customHeight="1">
      <c r="F326" s="114"/>
      <c r="G326" s="114"/>
      <c r="H326" s="114"/>
      <c r="I326" s="114"/>
      <c r="J326" s="114"/>
      <c r="K326" s="114"/>
      <c r="L326" s="114"/>
      <c r="M326" s="114"/>
      <c r="N326" s="114"/>
      <c r="O326" s="114"/>
      <c r="P326" s="114"/>
    </row>
    <row r="327" spans="6:16" ht="17.25" customHeight="1">
      <c r="F327" s="114"/>
      <c r="G327" s="114"/>
      <c r="H327" s="114"/>
      <c r="I327" s="114"/>
      <c r="J327" s="114"/>
      <c r="K327" s="114"/>
      <c r="L327" s="114"/>
      <c r="M327" s="114"/>
      <c r="N327" s="114"/>
      <c r="O327" s="114"/>
      <c r="P327" s="114"/>
    </row>
    <row r="328" spans="6:16" ht="17.25" customHeight="1">
      <c r="F328" s="114"/>
      <c r="G328" s="114"/>
      <c r="H328" s="114"/>
      <c r="I328" s="114"/>
      <c r="J328" s="114"/>
      <c r="K328" s="114"/>
      <c r="L328" s="114"/>
      <c r="M328" s="114"/>
      <c r="N328" s="114"/>
      <c r="O328" s="114"/>
      <c r="P328" s="114"/>
    </row>
    <row r="329" spans="6:16" ht="17.25" customHeight="1">
      <c r="F329" s="114"/>
      <c r="G329" s="114"/>
      <c r="H329" s="114"/>
      <c r="I329" s="114"/>
      <c r="J329" s="114"/>
      <c r="K329" s="114"/>
      <c r="L329" s="114"/>
      <c r="M329" s="114"/>
      <c r="N329" s="114"/>
      <c r="O329" s="114"/>
      <c r="P329" s="114"/>
    </row>
    <row r="330" spans="6:16" ht="17.25" customHeight="1">
      <c r="F330" s="114"/>
      <c r="G330" s="114"/>
      <c r="H330" s="114"/>
      <c r="I330" s="114"/>
      <c r="J330" s="114"/>
      <c r="K330" s="114"/>
      <c r="L330" s="114"/>
      <c r="M330" s="114"/>
      <c r="N330" s="114"/>
      <c r="O330" s="114"/>
      <c r="P330" s="114"/>
    </row>
    <row r="331" spans="6:16" ht="17.25" customHeight="1">
      <c r="F331" s="114"/>
      <c r="G331" s="114"/>
      <c r="H331" s="114"/>
      <c r="I331" s="114"/>
      <c r="J331" s="114"/>
      <c r="K331" s="114"/>
      <c r="L331" s="114"/>
      <c r="M331" s="114"/>
      <c r="N331" s="114"/>
      <c r="O331" s="114"/>
      <c r="P331" s="114"/>
    </row>
    <row r="332" spans="6:16" ht="17.25" customHeight="1">
      <c r="F332" s="114"/>
      <c r="G332" s="114"/>
      <c r="H332" s="114"/>
      <c r="I332" s="114"/>
      <c r="J332" s="114"/>
      <c r="K332" s="114"/>
      <c r="L332" s="114"/>
      <c r="M332" s="114"/>
      <c r="N332" s="114"/>
      <c r="O332" s="114"/>
      <c r="P332" s="114"/>
    </row>
    <row r="333" spans="6:16" ht="17.25" customHeight="1">
      <c r="F333" s="114"/>
      <c r="G333" s="114"/>
      <c r="H333" s="114"/>
      <c r="I333" s="114"/>
      <c r="J333" s="114"/>
      <c r="K333" s="114"/>
      <c r="L333" s="114"/>
      <c r="M333" s="114"/>
      <c r="N333" s="114"/>
      <c r="O333" s="114"/>
      <c r="P333" s="114"/>
    </row>
    <row r="334" spans="6:16" ht="17.25" customHeight="1">
      <c r="F334" s="114"/>
      <c r="G334" s="114"/>
      <c r="H334" s="114"/>
      <c r="I334" s="114"/>
      <c r="J334" s="114"/>
      <c r="K334" s="114"/>
      <c r="L334" s="114"/>
      <c r="M334" s="114"/>
      <c r="N334" s="114"/>
      <c r="O334" s="114"/>
      <c r="P334" s="114"/>
    </row>
    <row r="335" spans="6:16" ht="17.25" customHeight="1">
      <c r="F335" s="114"/>
      <c r="G335" s="114"/>
      <c r="H335" s="114"/>
      <c r="I335" s="114"/>
      <c r="J335" s="114"/>
      <c r="K335" s="114"/>
      <c r="L335" s="114"/>
      <c r="M335" s="114"/>
      <c r="N335" s="114"/>
      <c r="O335" s="114"/>
      <c r="P335" s="114"/>
    </row>
    <row r="336" spans="6:16" ht="17.25" customHeight="1">
      <c r="F336" s="114"/>
      <c r="G336" s="114"/>
      <c r="H336" s="114"/>
      <c r="I336" s="114"/>
      <c r="J336" s="114"/>
      <c r="K336" s="114"/>
      <c r="L336" s="114"/>
      <c r="M336" s="114"/>
      <c r="N336" s="114"/>
      <c r="O336" s="114"/>
      <c r="P336" s="114"/>
    </row>
    <row r="337" spans="6:16" ht="17.25" customHeight="1">
      <c r="F337" s="114"/>
      <c r="G337" s="114"/>
      <c r="H337" s="114"/>
      <c r="I337" s="114"/>
      <c r="J337" s="114"/>
      <c r="K337" s="114"/>
      <c r="L337" s="114"/>
      <c r="M337" s="114"/>
      <c r="N337" s="114"/>
      <c r="O337" s="114"/>
      <c r="P337" s="114"/>
    </row>
    <row r="338" spans="6:16" ht="17.25" customHeight="1">
      <c r="F338" s="114"/>
      <c r="G338" s="114"/>
      <c r="H338" s="114"/>
      <c r="I338" s="114"/>
      <c r="J338" s="114"/>
      <c r="K338" s="114"/>
      <c r="L338" s="114"/>
      <c r="M338" s="114"/>
      <c r="N338" s="114"/>
      <c r="O338" s="114"/>
      <c r="P338" s="114"/>
    </row>
    <row r="339" spans="6:16" ht="17.25" customHeight="1">
      <c r="F339" s="114"/>
      <c r="G339" s="114"/>
      <c r="H339" s="114"/>
      <c r="I339" s="114"/>
      <c r="J339" s="114"/>
      <c r="K339" s="114"/>
      <c r="L339" s="114"/>
      <c r="M339" s="114"/>
      <c r="N339" s="114"/>
      <c r="O339" s="114"/>
      <c r="P339" s="114"/>
    </row>
    <row r="340" spans="6:16" ht="17.25" customHeight="1">
      <c r="F340" s="114"/>
      <c r="G340" s="114"/>
      <c r="H340" s="114"/>
      <c r="I340" s="114"/>
      <c r="J340" s="114"/>
      <c r="K340" s="114"/>
      <c r="L340" s="114"/>
      <c r="M340" s="114"/>
      <c r="N340" s="114"/>
      <c r="O340" s="114"/>
      <c r="P340" s="114"/>
    </row>
    <row r="341" spans="6:16" ht="17.25" customHeight="1">
      <c r="F341" s="114"/>
      <c r="G341" s="114"/>
      <c r="H341" s="114"/>
      <c r="I341" s="114"/>
      <c r="J341" s="114"/>
      <c r="K341" s="114"/>
      <c r="L341" s="114"/>
      <c r="M341" s="114"/>
      <c r="N341" s="114"/>
      <c r="O341" s="114"/>
      <c r="P341" s="114"/>
    </row>
    <row r="342" spans="6:16" ht="17.25" customHeight="1">
      <c r="F342" s="114"/>
      <c r="G342" s="114"/>
      <c r="H342" s="114"/>
      <c r="I342" s="114"/>
      <c r="J342" s="114"/>
      <c r="K342" s="114"/>
      <c r="L342" s="114"/>
      <c r="M342" s="114"/>
      <c r="N342" s="114"/>
      <c r="O342" s="114"/>
      <c r="P342" s="114"/>
    </row>
    <row r="343" spans="6:16" ht="17.25" customHeight="1">
      <c r="F343" s="114"/>
      <c r="G343" s="114"/>
      <c r="H343" s="114"/>
      <c r="I343" s="114"/>
      <c r="J343" s="114"/>
      <c r="K343" s="114"/>
      <c r="L343" s="114"/>
      <c r="M343" s="114"/>
      <c r="N343" s="114"/>
      <c r="O343" s="114"/>
      <c r="P343" s="114"/>
    </row>
    <row r="344" spans="6:16" ht="17.25" customHeight="1">
      <c r="F344" s="114"/>
      <c r="G344" s="114"/>
      <c r="H344" s="114"/>
      <c r="I344" s="114"/>
      <c r="J344" s="114"/>
      <c r="K344" s="114"/>
      <c r="L344" s="114"/>
      <c r="M344" s="114"/>
      <c r="N344" s="114"/>
      <c r="O344" s="114"/>
      <c r="P344" s="114"/>
    </row>
    <row r="345" spans="6:16" ht="17.25" customHeight="1">
      <c r="F345" s="114"/>
      <c r="G345" s="114"/>
      <c r="H345" s="114"/>
      <c r="I345" s="114"/>
      <c r="J345" s="114"/>
      <c r="K345" s="114"/>
      <c r="L345" s="114"/>
      <c r="M345" s="114"/>
      <c r="N345" s="114"/>
      <c r="O345" s="114"/>
      <c r="P345" s="114"/>
    </row>
    <row r="346" spans="6:16" ht="17.25" customHeight="1">
      <c r="F346" s="114"/>
      <c r="G346" s="114"/>
      <c r="H346" s="114"/>
      <c r="I346" s="114"/>
      <c r="J346" s="114"/>
      <c r="K346" s="114"/>
      <c r="L346" s="114"/>
      <c r="M346" s="114"/>
      <c r="N346" s="114"/>
      <c r="O346" s="114"/>
      <c r="P346" s="114"/>
    </row>
    <row r="347" spans="6:16" ht="17.25" customHeight="1">
      <c r="F347" s="114"/>
      <c r="G347" s="114"/>
      <c r="H347" s="114"/>
      <c r="I347" s="114"/>
      <c r="J347" s="114"/>
      <c r="K347" s="114"/>
      <c r="L347" s="114"/>
      <c r="M347" s="114"/>
      <c r="N347" s="114"/>
      <c r="O347" s="114"/>
      <c r="P347" s="114"/>
    </row>
    <row r="348" spans="6:16" ht="17.25" customHeight="1">
      <c r="F348" s="114"/>
      <c r="G348" s="114"/>
      <c r="H348" s="114"/>
      <c r="I348" s="114"/>
      <c r="J348" s="114"/>
      <c r="K348" s="114"/>
      <c r="L348" s="114"/>
      <c r="M348" s="114"/>
      <c r="N348" s="114"/>
      <c r="O348" s="114"/>
      <c r="P348" s="114"/>
    </row>
    <row r="349" spans="6:16" ht="17.25" customHeight="1">
      <c r="F349" s="114"/>
      <c r="G349" s="114"/>
      <c r="H349" s="114"/>
      <c r="I349" s="114"/>
      <c r="J349" s="114"/>
      <c r="K349" s="114"/>
      <c r="L349" s="114"/>
      <c r="M349" s="114"/>
      <c r="N349" s="114"/>
      <c r="O349" s="114"/>
      <c r="P349" s="114"/>
    </row>
    <row r="350" spans="6:16" ht="17.25" customHeight="1">
      <c r="F350" s="114"/>
      <c r="G350" s="114"/>
      <c r="H350" s="114"/>
      <c r="I350" s="114"/>
      <c r="J350" s="114"/>
      <c r="K350" s="114"/>
      <c r="L350" s="114"/>
      <c r="M350" s="114"/>
      <c r="N350" s="114"/>
      <c r="O350" s="114"/>
      <c r="P350" s="114"/>
    </row>
    <row r="351" spans="6:16" ht="17.25" customHeight="1">
      <c r="F351" s="114"/>
      <c r="G351" s="114"/>
      <c r="H351" s="114"/>
      <c r="I351" s="114"/>
      <c r="J351" s="114"/>
      <c r="K351" s="114"/>
      <c r="L351" s="114"/>
      <c r="M351" s="114"/>
      <c r="N351" s="114"/>
      <c r="O351" s="114"/>
      <c r="P351" s="114"/>
    </row>
    <row r="352" spans="6:16" ht="17.25" customHeight="1">
      <c r="F352" s="114"/>
      <c r="G352" s="114"/>
      <c r="H352" s="114"/>
      <c r="I352" s="114"/>
      <c r="J352" s="114"/>
      <c r="K352" s="114"/>
      <c r="L352" s="114"/>
      <c r="M352" s="114"/>
      <c r="N352" s="114"/>
      <c r="O352" s="114"/>
      <c r="P352" s="114"/>
    </row>
    <row r="353" spans="6:16" ht="17.25" customHeight="1">
      <c r="F353" s="114"/>
      <c r="G353" s="114"/>
      <c r="H353" s="114"/>
      <c r="I353" s="114"/>
      <c r="J353" s="114"/>
      <c r="K353" s="114"/>
      <c r="L353" s="114"/>
      <c r="M353" s="114"/>
      <c r="N353" s="114"/>
      <c r="O353" s="114"/>
      <c r="P353" s="114"/>
    </row>
    <row r="354" spans="6:16" ht="17.25" customHeight="1">
      <c r="F354" s="114"/>
      <c r="G354" s="114"/>
      <c r="H354" s="114"/>
      <c r="I354" s="114"/>
      <c r="J354" s="114"/>
      <c r="K354" s="114"/>
      <c r="L354" s="114"/>
      <c r="M354" s="114"/>
      <c r="N354" s="114"/>
      <c r="O354" s="114"/>
      <c r="P354" s="114"/>
    </row>
    <row r="355" spans="6:16" ht="17.25" customHeight="1">
      <c r="F355" s="114"/>
      <c r="G355" s="114"/>
      <c r="H355" s="114"/>
      <c r="I355" s="114"/>
      <c r="J355" s="114"/>
      <c r="K355" s="114"/>
      <c r="L355" s="114"/>
      <c r="M355" s="114"/>
      <c r="N355" s="114"/>
      <c r="O355" s="114"/>
      <c r="P355" s="114"/>
    </row>
    <row r="356" spans="6:16" ht="17.25" customHeight="1">
      <c r="F356" s="114"/>
      <c r="G356" s="114"/>
      <c r="H356" s="114"/>
      <c r="I356" s="114"/>
      <c r="J356" s="114"/>
      <c r="K356" s="114"/>
      <c r="L356" s="114"/>
      <c r="M356" s="114"/>
      <c r="N356" s="114"/>
      <c r="O356" s="114"/>
      <c r="P356" s="114"/>
    </row>
    <row r="357" spans="6:16" ht="17.25" customHeight="1">
      <c r="F357" s="114"/>
      <c r="G357" s="114"/>
      <c r="H357" s="114"/>
      <c r="I357" s="114"/>
      <c r="J357" s="114"/>
      <c r="K357" s="114"/>
      <c r="L357" s="114"/>
      <c r="M357" s="114"/>
      <c r="N357" s="114"/>
      <c r="O357" s="114"/>
      <c r="P357" s="114"/>
    </row>
    <row r="358" spans="6:16" ht="17.25" customHeight="1">
      <c r="F358" s="114"/>
      <c r="G358" s="114"/>
      <c r="H358" s="114"/>
      <c r="I358" s="114"/>
      <c r="J358" s="114"/>
      <c r="K358" s="114"/>
      <c r="L358" s="114"/>
      <c r="M358" s="114"/>
      <c r="N358" s="114"/>
      <c r="O358" s="114"/>
      <c r="P358" s="114"/>
    </row>
    <row r="359" spans="6:16" ht="17.25" customHeight="1">
      <c r="F359" s="114"/>
      <c r="G359" s="114"/>
      <c r="H359" s="114"/>
      <c r="I359" s="114"/>
      <c r="J359" s="114"/>
      <c r="K359" s="114"/>
      <c r="L359" s="114"/>
      <c r="M359" s="114"/>
      <c r="N359" s="114"/>
      <c r="O359" s="114"/>
      <c r="P359" s="114"/>
    </row>
    <row r="360" spans="6:16" ht="17.25" customHeight="1">
      <c r="F360" s="114"/>
      <c r="G360" s="114"/>
      <c r="H360" s="114"/>
      <c r="I360" s="114"/>
      <c r="J360" s="114"/>
      <c r="K360" s="114"/>
      <c r="L360" s="114"/>
      <c r="M360" s="114"/>
      <c r="N360" s="114"/>
      <c r="O360" s="114"/>
      <c r="P360" s="114"/>
    </row>
    <row r="361" spans="6:16" ht="17.25" customHeight="1">
      <c r="F361" s="114"/>
      <c r="G361" s="114"/>
      <c r="H361" s="114"/>
      <c r="I361" s="114"/>
      <c r="J361" s="114"/>
      <c r="K361" s="114"/>
      <c r="L361" s="114"/>
      <c r="M361" s="114"/>
      <c r="N361" s="114"/>
      <c r="O361" s="114"/>
      <c r="P361" s="114"/>
    </row>
    <row r="362" spans="6:16" ht="17.25" customHeight="1">
      <c r="F362" s="114"/>
      <c r="G362" s="114"/>
      <c r="H362" s="114"/>
      <c r="I362" s="114"/>
      <c r="J362" s="114"/>
      <c r="K362" s="114"/>
      <c r="L362" s="114"/>
      <c r="M362" s="114"/>
      <c r="N362" s="114"/>
      <c r="O362" s="114"/>
      <c r="P362" s="114"/>
    </row>
    <row r="363" spans="6:16" ht="17.25" customHeight="1">
      <c r="F363" s="114"/>
      <c r="G363" s="114"/>
      <c r="H363" s="114"/>
      <c r="I363" s="114"/>
      <c r="J363" s="114"/>
      <c r="K363" s="114"/>
      <c r="L363" s="114"/>
      <c r="M363" s="114"/>
      <c r="N363" s="114"/>
      <c r="O363" s="114"/>
      <c r="P363" s="114"/>
    </row>
    <row r="364" spans="6:16" ht="17.25" customHeight="1">
      <c r="F364" s="114"/>
      <c r="G364" s="114"/>
      <c r="H364" s="114"/>
      <c r="I364" s="114"/>
      <c r="J364" s="114"/>
      <c r="K364" s="114"/>
      <c r="L364" s="114"/>
      <c r="M364" s="114"/>
      <c r="N364" s="114"/>
      <c r="O364" s="114"/>
      <c r="P364" s="114"/>
    </row>
    <row r="365" spans="6:16" ht="17.25" customHeight="1">
      <c r="F365" s="114"/>
      <c r="G365" s="114"/>
      <c r="H365" s="114"/>
      <c r="I365" s="114"/>
      <c r="J365" s="114"/>
      <c r="K365" s="114"/>
      <c r="L365" s="114"/>
      <c r="M365" s="114"/>
      <c r="N365" s="114"/>
      <c r="O365" s="114"/>
      <c r="P365" s="114"/>
    </row>
    <row r="366" spans="6:16" ht="17.25" customHeight="1">
      <c r="F366" s="114"/>
      <c r="G366" s="114"/>
      <c r="H366" s="114"/>
      <c r="I366" s="114"/>
      <c r="J366" s="114"/>
      <c r="K366" s="114"/>
      <c r="L366" s="114"/>
      <c r="M366" s="114"/>
      <c r="N366" s="114"/>
      <c r="O366" s="114"/>
      <c r="P366" s="114"/>
    </row>
    <row r="367" spans="6:16" ht="17.25" customHeight="1">
      <c r="F367" s="114"/>
      <c r="G367" s="114"/>
      <c r="H367" s="114"/>
      <c r="I367" s="114"/>
      <c r="J367" s="114"/>
      <c r="K367" s="114"/>
      <c r="L367" s="114"/>
      <c r="M367" s="114"/>
      <c r="N367" s="114"/>
      <c r="O367" s="114"/>
      <c r="P367" s="114"/>
    </row>
    <row r="368" spans="6:16" ht="17.25" customHeight="1">
      <c r="F368" s="114"/>
      <c r="G368" s="114"/>
      <c r="H368" s="114"/>
      <c r="I368" s="114"/>
      <c r="J368" s="114"/>
      <c r="K368" s="114"/>
      <c r="L368" s="114"/>
      <c r="M368" s="114"/>
      <c r="N368" s="114"/>
      <c r="O368" s="114"/>
      <c r="P368" s="114"/>
    </row>
    <row r="369" spans="6:16" ht="17.25" customHeight="1">
      <c r="F369" s="114"/>
      <c r="G369" s="114"/>
      <c r="H369" s="114"/>
      <c r="I369" s="114"/>
      <c r="J369" s="114"/>
      <c r="K369" s="114"/>
      <c r="L369" s="114"/>
      <c r="M369" s="114"/>
      <c r="N369" s="114"/>
      <c r="O369" s="114"/>
      <c r="P369" s="114"/>
    </row>
    <row r="370" spans="6:16" ht="17.25" customHeight="1">
      <c r="F370" s="114"/>
      <c r="G370" s="114"/>
      <c r="H370" s="114"/>
      <c r="I370" s="114"/>
      <c r="J370" s="114"/>
      <c r="K370" s="114"/>
      <c r="L370" s="114"/>
      <c r="M370" s="114"/>
      <c r="N370" s="114"/>
      <c r="O370" s="114"/>
      <c r="P370" s="114"/>
    </row>
    <row r="371" spans="6:16" ht="17.25" customHeight="1">
      <c r="F371" s="114"/>
      <c r="G371" s="114"/>
      <c r="H371" s="114"/>
      <c r="I371" s="114"/>
      <c r="J371" s="114"/>
      <c r="K371" s="114"/>
      <c r="L371" s="114"/>
      <c r="M371" s="114"/>
      <c r="N371" s="114"/>
      <c r="O371" s="114"/>
      <c r="P371" s="114"/>
    </row>
    <row r="372" spans="6:16" ht="17.25" customHeight="1">
      <c r="F372" s="114"/>
      <c r="G372" s="114"/>
      <c r="H372" s="114"/>
      <c r="I372" s="114"/>
      <c r="J372" s="114"/>
      <c r="K372" s="114"/>
      <c r="L372" s="114"/>
      <c r="M372" s="114"/>
      <c r="N372" s="114"/>
      <c r="O372" s="114"/>
      <c r="P372" s="114"/>
    </row>
    <row r="373" spans="6:16" ht="17.25" customHeight="1">
      <c r="F373" s="114"/>
      <c r="G373" s="114"/>
      <c r="H373" s="114"/>
      <c r="I373" s="114"/>
      <c r="J373" s="114"/>
      <c r="K373" s="114"/>
      <c r="L373" s="114"/>
      <c r="M373" s="114"/>
      <c r="N373" s="114"/>
      <c r="O373" s="114"/>
      <c r="P373" s="114"/>
    </row>
    <row r="374" spans="6:16" ht="17.25" customHeight="1">
      <c r="F374" s="114"/>
      <c r="G374" s="114"/>
      <c r="H374" s="114"/>
      <c r="I374" s="114"/>
      <c r="J374" s="114"/>
      <c r="K374" s="114"/>
      <c r="L374" s="114"/>
      <c r="M374" s="114"/>
      <c r="N374" s="114"/>
      <c r="O374" s="114"/>
      <c r="P374" s="114"/>
    </row>
    <row r="375" spans="6:16" ht="17.25" customHeight="1">
      <c r="F375" s="114"/>
      <c r="G375" s="114"/>
      <c r="H375" s="114"/>
      <c r="I375" s="114"/>
      <c r="J375" s="114"/>
      <c r="K375" s="114"/>
      <c r="L375" s="114"/>
      <c r="M375" s="114"/>
      <c r="N375" s="114"/>
      <c r="O375" s="114"/>
      <c r="P375" s="114"/>
    </row>
    <row r="376" spans="6:16" ht="17.25" customHeight="1">
      <c r="F376" s="114"/>
      <c r="G376" s="114"/>
      <c r="H376" s="114"/>
      <c r="I376" s="114"/>
      <c r="J376" s="114"/>
      <c r="K376" s="114"/>
      <c r="L376" s="114"/>
      <c r="M376" s="114"/>
      <c r="N376" s="114"/>
      <c r="O376" s="114"/>
      <c r="P376" s="114"/>
    </row>
    <row r="377" spans="6:16" ht="17.25" customHeight="1">
      <c r="F377" s="114"/>
      <c r="G377" s="114"/>
      <c r="H377" s="114"/>
      <c r="I377" s="114"/>
      <c r="J377" s="114"/>
      <c r="K377" s="114"/>
      <c r="L377" s="114"/>
      <c r="M377" s="114"/>
      <c r="N377" s="114"/>
      <c r="O377" s="114"/>
      <c r="P377" s="114"/>
    </row>
    <row r="378" spans="6:16" ht="17.25" customHeight="1">
      <c r="F378" s="114"/>
      <c r="G378" s="114"/>
      <c r="H378" s="114"/>
      <c r="I378" s="114"/>
      <c r="J378" s="114"/>
      <c r="K378" s="114"/>
      <c r="L378" s="114"/>
      <c r="M378" s="114"/>
      <c r="N378" s="114"/>
      <c r="O378" s="114"/>
      <c r="P378" s="114"/>
    </row>
    <row r="379" spans="6:16" ht="17.25" customHeight="1">
      <c r="F379" s="114"/>
      <c r="G379" s="114"/>
      <c r="H379" s="114"/>
      <c r="I379" s="114"/>
      <c r="J379" s="114"/>
      <c r="K379" s="114"/>
      <c r="L379" s="114"/>
      <c r="M379" s="114"/>
      <c r="N379" s="114"/>
      <c r="O379" s="114"/>
      <c r="P379" s="114"/>
    </row>
    <row r="380" spans="6:16" ht="17.25" customHeight="1">
      <c r="F380" s="114"/>
      <c r="G380" s="114"/>
      <c r="H380" s="114"/>
      <c r="I380" s="114"/>
      <c r="J380" s="114"/>
      <c r="K380" s="114"/>
      <c r="L380" s="114"/>
      <c r="M380" s="114"/>
      <c r="N380" s="114"/>
      <c r="O380" s="114"/>
      <c r="P380" s="114"/>
    </row>
    <row r="381" spans="6:16" ht="17.25" customHeight="1">
      <c r="F381" s="114"/>
      <c r="G381" s="114"/>
      <c r="H381" s="114"/>
      <c r="I381" s="114"/>
      <c r="J381" s="114"/>
      <c r="K381" s="114"/>
      <c r="L381" s="114"/>
      <c r="M381" s="114"/>
      <c r="N381" s="114"/>
      <c r="O381" s="114"/>
      <c r="P381" s="114"/>
    </row>
    <row r="382" spans="6:16" ht="17.25" customHeight="1">
      <c r="F382" s="114"/>
      <c r="G382" s="114"/>
      <c r="H382" s="114"/>
      <c r="I382" s="114"/>
      <c r="J382" s="114"/>
      <c r="K382" s="114"/>
      <c r="L382" s="114"/>
      <c r="M382" s="114"/>
      <c r="N382" s="114"/>
      <c r="O382" s="114"/>
      <c r="P382" s="114"/>
    </row>
    <row r="383" spans="6:16" ht="17.25" customHeight="1">
      <c r="F383" s="114"/>
      <c r="G383" s="114"/>
      <c r="H383" s="114"/>
      <c r="I383" s="114"/>
      <c r="J383" s="114"/>
      <c r="K383" s="114"/>
      <c r="L383" s="114"/>
      <c r="M383" s="114"/>
      <c r="N383" s="114"/>
      <c r="O383" s="114"/>
      <c r="P383" s="114"/>
    </row>
    <row r="384" spans="6:16" ht="17.25" customHeight="1">
      <c r="F384" s="114"/>
      <c r="G384" s="114"/>
      <c r="H384" s="114"/>
      <c r="I384" s="114"/>
      <c r="J384" s="114"/>
      <c r="K384" s="114"/>
      <c r="L384" s="114"/>
      <c r="M384" s="114"/>
      <c r="N384" s="114"/>
      <c r="O384" s="114"/>
      <c r="P384" s="114"/>
    </row>
    <row r="385" spans="6:16" ht="17.25" customHeight="1">
      <c r="F385" s="114"/>
      <c r="G385" s="114"/>
      <c r="H385" s="114"/>
      <c r="I385" s="114"/>
      <c r="J385" s="114"/>
      <c r="K385" s="114"/>
      <c r="L385" s="114"/>
      <c r="M385" s="114"/>
      <c r="N385" s="114"/>
      <c r="O385" s="114"/>
      <c r="P385" s="114"/>
    </row>
    <row r="386" spans="6:16" ht="17.25" customHeight="1">
      <c r="F386" s="114"/>
      <c r="G386" s="114"/>
      <c r="H386" s="114"/>
      <c r="I386" s="114"/>
      <c r="J386" s="114"/>
      <c r="K386" s="114"/>
      <c r="L386" s="114"/>
      <c r="M386" s="114"/>
      <c r="N386" s="114"/>
      <c r="O386" s="114"/>
      <c r="P386" s="114"/>
    </row>
    <row r="387" spans="6:16" ht="17.25" customHeight="1">
      <c r="F387" s="114"/>
      <c r="G387" s="114"/>
      <c r="H387" s="114"/>
      <c r="I387" s="114"/>
      <c r="J387" s="114"/>
      <c r="K387" s="114"/>
      <c r="L387" s="114"/>
      <c r="M387" s="114"/>
      <c r="N387" s="114"/>
      <c r="O387" s="114"/>
      <c r="P387" s="114"/>
    </row>
    <row r="388" spans="6:16" ht="17.25" customHeight="1">
      <c r="F388" s="114"/>
      <c r="G388" s="114"/>
      <c r="H388" s="114"/>
      <c r="I388" s="114"/>
      <c r="J388" s="114"/>
      <c r="K388" s="114"/>
      <c r="L388" s="114"/>
      <c r="M388" s="114"/>
      <c r="N388" s="114"/>
      <c r="O388" s="114"/>
      <c r="P388" s="114"/>
    </row>
    <row r="389" spans="6:16" ht="17.25" customHeight="1">
      <c r="F389" s="114"/>
      <c r="G389" s="114"/>
      <c r="H389" s="114"/>
      <c r="I389" s="114"/>
      <c r="J389" s="114"/>
      <c r="K389" s="114"/>
      <c r="L389" s="114"/>
      <c r="M389" s="114"/>
      <c r="N389" s="114"/>
      <c r="O389" s="114"/>
      <c r="P389" s="114"/>
    </row>
    <row r="390" spans="6:16" ht="17.25" customHeight="1">
      <c r="F390" s="114"/>
      <c r="G390" s="114"/>
      <c r="H390" s="114"/>
      <c r="I390" s="114"/>
      <c r="J390" s="114"/>
      <c r="K390" s="114"/>
      <c r="L390" s="114"/>
      <c r="M390" s="114"/>
      <c r="N390" s="114"/>
      <c r="O390" s="114"/>
      <c r="P390" s="114"/>
    </row>
    <row r="391" spans="6:16" ht="17.25" customHeight="1">
      <c r="F391" s="114"/>
      <c r="G391" s="114"/>
      <c r="H391" s="114"/>
      <c r="I391" s="114"/>
      <c r="J391" s="114"/>
      <c r="K391" s="114"/>
      <c r="L391" s="114"/>
      <c r="M391" s="114"/>
      <c r="N391" s="114"/>
      <c r="O391" s="114"/>
      <c r="P391" s="114"/>
    </row>
    <row r="392" spans="6:16" ht="17.25" customHeight="1">
      <c r="F392" s="114"/>
      <c r="G392" s="114"/>
      <c r="H392" s="114"/>
      <c r="I392" s="114"/>
      <c r="J392" s="114"/>
      <c r="K392" s="114"/>
      <c r="L392" s="114"/>
      <c r="M392" s="114"/>
      <c r="N392" s="114"/>
      <c r="O392" s="114"/>
      <c r="P392" s="114"/>
    </row>
    <row r="393" spans="6:16" ht="17.25" customHeight="1">
      <c r="F393" s="114"/>
      <c r="G393" s="114"/>
      <c r="H393" s="114"/>
      <c r="I393" s="114"/>
      <c r="J393" s="114"/>
      <c r="K393" s="114"/>
      <c r="L393" s="114"/>
      <c r="M393" s="114"/>
      <c r="N393" s="114"/>
      <c r="O393" s="114"/>
      <c r="P393" s="114"/>
    </row>
    <row r="394" spans="6:16" ht="17.25" customHeight="1">
      <c r="F394" s="114"/>
      <c r="G394" s="114"/>
      <c r="H394" s="114"/>
      <c r="I394" s="114"/>
      <c r="J394" s="114"/>
      <c r="K394" s="114"/>
      <c r="L394" s="114"/>
      <c r="M394" s="114"/>
      <c r="N394" s="114"/>
      <c r="O394" s="114"/>
      <c r="P394" s="114"/>
    </row>
    <row r="395" spans="6:16" ht="17.25" customHeight="1">
      <c r="F395" s="114"/>
      <c r="G395" s="114"/>
      <c r="H395" s="114"/>
      <c r="I395" s="114"/>
      <c r="J395" s="114"/>
      <c r="K395" s="114"/>
      <c r="L395" s="114"/>
      <c r="M395" s="114"/>
      <c r="N395" s="114"/>
      <c r="O395" s="114"/>
      <c r="P395" s="114"/>
    </row>
    <row r="396" spans="6:16" ht="17.25" customHeight="1">
      <c r="F396" s="114"/>
      <c r="G396" s="114"/>
      <c r="H396" s="114"/>
      <c r="I396" s="114"/>
      <c r="J396" s="114"/>
      <c r="K396" s="114"/>
      <c r="L396" s="114"/>
      <c r="M396" s="114"/>
      <c r="N396" s="114"/>
      <c r="O396" s="114"/>
      <c r="P396" s="114"/>
    </row>
    <row r="397" spans="6:16" ht="17.25" customHeight="1">
      <c r="F397" s="114"/>
      <c r="G397" s="114"/>
      <c r="H397" s="114"/>
      <c r="I397" s="114"/>
      <c r="J397" s="114"/>
      <c r="K397" s="114"/>
      <c r="L397" s="114"/>
      <c r="M397" s="114"/>
      <c r="N397" s="114"/>
      <c r="O397" s="114"/>
      <c r="P397" s="114"/>
    </row>
    <row r="398" spans="6:16" ht="17.25" customHeight="1">
      <c r="F398" s="114"/>
      <c r="G398" s="114"/>
      <c r="H398" s="114"/>
      <c r="I398" s="114"/>
      <c r="J398" s="114"/>
      <c r="K398" s="114"/>
      <c r="L398" s="114"/>
      <c r="M398" s="114"/>
      <c r="N398" s="114"/>
      <c r="O398" s="114"/>
      <c r="P398" s="114"/>
    </row>
    <row r="399" spans="6:16" ht="17.25" customHeight="1">
      <c r="F399" s="114"/>
      <c r="G399" s="114"/>
      <c r="H399" s="114"/>
      <c r="I399" s="114"/>
      <c r="J399" s="114"/>
      <c r="K399" s="114"/>
      <c r="L399" s="114"/>
      <c r="M399" s="114"/>
      <c r="N399" s="114"/>
      <c r="O399" s="114"/>
      <c r="P399" s="114"/>
    </row>
    <row r="400" spans="6:16" ht="17.25" customHeight="1">
      <c r="F400" s="114"/>
      <c r="G400" s="114"/>
      <c r="H400" s="114"/>
      <c r="I400" s="114"/>
      <c r="J400" s="114"/>
      <c r="K400" s="114"/>
      <c r="L400" s="114"/>
      <c r="M400" s="114"/>
      <c r="N400" s="114"/>
      <c r="O400" s="114"/>
      <c r="P400" s="114"/>
    </row>
    <row r="401" spans="6:16" ht="17.25" customHeight="1">
      <c r="F401" s="114"/>
      <c r="G401" s="114"/>
      <c r="H401" s="114"/>
      <c r="I401" s="114"/>
      <c r="J401" s="114"/>
      <c r="K401" s="114"/>
      <c r="L401" s="114"/>
      <c r="M401" s="114"/>
      <c r="N401" s="114"/>
      <c r="O401" s="114"/>
      <c r="P401" s="114"/>
    </row>
    <row r="402" spans="6:16" ht="17.25" customHeight="1">
      <c r="F402" s="114"/>
      <c r="G402" s="114"/>
      <c r="H402" s="114"/>
      <c r="I402" s="114"/>
      <c r="J402" s="114"/>
      <c r="K402" s="114"/>
      <c r="L402" s="114"/>
      <c r="M402" s="114"/>
      <c r="N402" s="114"/>
      <c r="O402" s="114"/>
      <c r="P402" s="114"/>
    </row>
    <row r="403" spans="6:16" ht="17.25" customHeight="1">
      <c r="F403" s="114"/>
      <c r="G403" s="114"/>
      <c r="H403" s="114"/>
      <c r="I403" s="114"/>
      <c r="J403" s="114"/>
      <c r="K403" s="114"/>
      <c r="L403" s="114"/>
      <c r="M403" s="114"/>
      <c r="N403" s="114"/>
      <c r="O403" s="114"/>
      <c r="P403" s="114"/>
    </row>
    <row r="404" spans="6:16" ht="17.25" customHeight="1">
      <c r="F404" s="114"/>
      <c r="G404" s="114"/>
      <c r="H404" s="114"/>
      <c r="I404" s="114"/>
      <c r="J404" s="114"/>
      <c r="K404" s="114"/>
      <c r="L404" s="114"/>
      <c r="M404" s="114"/>
      <c r="N404" s="114"/>
      <c r="O404" s="114"/>
      <c r="P404" s="114"/>
    </row>
    <row r="405" spans="6:16" ht="17.25" customHeight="1">
      <c r="F405" s="114"/>
      <c r="G405" s="114"/>
      <c r="H405" s="114"/>
      <c r="I405" s="114"/>
      <c r="J405" s="114"/>
      <c r="K405" s="114"/>
      <c r="L405" s="114"/>
      <c r="M405" s="114"/>
      <c r="N405" s="114"/>
      <c r="O405" s="114"/>
      <c r="P405" s="114"/>
    </row>
    <row r="406" spans="6:16" ht="17.25" customHeight="1">
      <c r="F406" s="114"/>
      <c r="G406" s="114"/>
      <c r="H406" s="114"/>
      <c r="I406" s="114"/>
      <c r="J406" s="114"/>
      <c r="K406" s="114"/>
      <c r="L406" s="114"/>
      <c r="M406" s="114"/>
      <c r="N406" s="114"/>
      <c r="O406" s="114"/>
      <c r="P406" s="114"/>
    </row>
    <row r="407" spans="6:16" ht="17.25" customHeight="1">
      <c r="F407" s="114"/>
      <c r="G407" s="114"/>
      <c r="H407" s="114"/>
      <c r="I407" s="114"/>
      <c r="J407" s="114"/>
      <c r="K407" s="114"/>
      <c r="L407" s="114"/>
      <c r="M407" s="114"/>
      <c r="N407" s="114"/>
      <c r="O407" s="114"/>
      <c r="P407" s="114"/>
    </row>
    <row r="408" spans="6:16" ht="17.25" customHeight="1">
      <c r="F408" s="114"/>
      <c r="G408" s="114"/>
      <c r="H408" s="114"/>
      <c r="I408" s="114"/>
      <c r="J408" s="114"/>
      <c r="K408" s="114"/>
      <c r="L408" s="114"/>
      <c r="M408" s="114"/>
      <c r="N408" s="114"/>
      <c r="O408" s="114"/>
      <c r="P408" s="114"/>
    </row>
    <row r="409" spans="6:16" ht="17.25" customHeight="1">
      <c r="F409" s="114"/>
      <c r="G409" s="114"/>
      <c r="H409" s="114"/>
      <c r="I409" s="114"/>
      <c r="J409" s="114"/>
      <c r="K409" s="114"/>
      <c r="L409" s="114"/>
      <c r="M409" s="114"/>
      <c r="N409" s="114"/>
      <c r="O409" s="114"/>
      <c r="P409" s="114"/>
    </row>
    <row r="410" spans="6:16" ht="17.25" customHeight="1">
      <c r="F410" s="114"/>
      <c r="G410" s="114"/>
      <c r="H410" s="114"/>
      <c r="I410" s="114"/>
      <c r="J410" s="114"/>
      <c r="K410" s="114"/>
      <c r="L410" s="114"/>
      <c r="M410" s="114"/>
      <c r="N410" s="114"/>
      <c r="O410" s="114"/>
      <c r="P410" s="114"/>
    </row>
    <row r="411" spans="6:16" ht="17.25" customHeight="1">
      <c r="F411" s="114"/>
      <c r="G411" s="114"/>
      <c r="H411" s="114"/>
      <c r="I411" s="114"/>
      <c r="J411" s="114"/>
      <c r="K411" s="114"/>
      <c r="L411" s="114"/>
      <c r="M411" s="114"/>
      <c r="N411" s="114"/>
      <c r="O411" s="114"/>
      <c r="P411" s="114"/>
    </row>
    <row r="412" spans="6:16" ht="17.25" customHeight="1">
      <c r="F412" s="114"/>
      <c r="G412" s="114"/>
      <c r="H412" s="114"/>
      <c r="I412" s="114"/>
      <c r="J412" s="114"/>
      <c r="K412" s="114"/>
      <c r="L412" s="114"/>
      <c r="M412" s="114"/>
      <c r="N412" s="114"/>
      <c r="O412" s="114"/>
      <c r="P412" s="114"/>
    </row>
    <row r="413" spans="6:16" ht="17.25" customHeight="1">
      <c r="F413" s="114"/>
      <c r="G413" s="114"/>
      <c r="H413" s="114"/>
      <c r="I413" s="114"/>
      <c r="J413" s="114"/>
      <c r="K413" s="114"/>
      <c r="L413" s="114"/>
      <c r="M413" s="114"/>
      <c r="N413" s="114"/>
      <c r="O413" s="114"/>
      <c r="P413" s="114"/>
    </row>
    <row r="414" spans="6:16" ht="17.25" customHeight="1">
      <c r="F414" s="114"/>
      <c r="G414" s="114"/>
      <c r="H414" s="114"/>
      <c r="I414" s="114"/>
      <c r="J414" s="114"/>
      <c r="K414" s="114"/>
      <c r="L414" s="114"/>
      <c r="M414" s="114"/>
      <c r="N414" s="114"/>
      <c r="O414" s="114"/>
      <c r="P414" s="114"/>
    </row>
    <row r="415" spans="6:16" ht="17.25" customHeight="1">
      <c r="F415" s="114"/>
      <c r="G415" s="114"/>
      <c r="H415" s="114"/>
      <c r="I415" s="114"/>
      <c r="J415" s="114"/>
      <c r="K415" s="114"/>
      <c r="L415" s="114"/>
      <c r="M415" s="114"/>
      <c r="N415" s="114"/>
      <c r="O415" s="114"/>
      <c r="P415" s="114"/>
    </row>
    <row r="416" spans="6:16" ht="17.25" customHeight="1">
      <c r="F416" s="114"/>
      <c r="G416" s="114"/>
      <c r="H416" s="114"/>
      <c r="I416" s="114"/>
      <c r="J416" s="114"/>
      <c r="K416" s="114"/>
      <c r="L416" s="114"/>
      <c r="M416" s="114"/>
      <c r="N416" s="114"/>
      <c r="O416" s="114"/>
      <c r="P416" s="114"/>
    </row>
    <row r="417" spans="6:16" ht="17.25" customHeight="1">
      <c r="F417" s="114"/>
      <c r="G417" s="114"/>
      <c r="H417" s="114"/>
      <c r="I417" s="114"/>
      <c r="J417" s="114"/>
      <c r="K417" s="114"/>
      <c r="L417" s="114"/>
      <c r="M417" s="114"/>
      <c r="N417" s="114"/>
      <c r="O417" s="114"/>
      <c r="P417" s="114"/>
    </row>
    <row r="418" spans="6:16" ht="17.25" customHeight="1">
      <c r="F418" s="114"/>
      <c r="G418" s="114"/>
      <c r="H418" s="114"/>
      <c r="I418" s="114"/>
      <c r="J418" s="114"/>
      <c r="K418" s="114"/>
      <c r="L418" s="114"/>
      <c r="M418" s="114"/>
      <c r="N418" s="114"/>
      <c r="O418" s="114"/>
      <c r="P418" s="114"/>
    </row>
    <row r="419" spans="6:16" ht="17.25" customHeight="1">
      <c r="F419" s="114"/>
      <c r="G419" s="114"/>
      <c r="H419" s="114"/>
      <c r="I419" s="114"/>
      <c r="J419" s="114"/>
      <c r="K419" s="114"/>
      <c r="L419" s="114"/>
      <c r="M419" s="114"/>
      <c r="N419" s="114"/>
      <c r="O419" s="114"/>
      <c r="P419" s="114"/>
    </row>
    <row r="420" spans="6:16" ht="17.25" customHeight="1">
      <c r="F420" s="114"/>
      <c r="G420" s="114"/>
      <c r="H420" s="114"/>
      <c r="I420" s="114"/>
      <c r="J420" s="114"/>
      <c r="K420" s="114"/>
      <c r="L420" s="114"/>
      <c r="M420" s="114"/>
      <c r="N420" s="114"/>
      <c r="O420" s="114"/>
      <c r="P420" s="114"/>
    </row>
    <row r="421" spans="6:16" ht="17.25" customHeight="1">
      <c r="F421" s="114"/>
      <c r="G421" s="114"/>
      <c r="H421" s="114"/>
      <c r="I421" s="114"/>
      <c r="J421" s="114"/>
      <c r="K421" s="114"/>
      <c r="L421" s="114"/>
      <c r="M421" s="114"/>
      <c r="N421" s="114"/>
      <c r="O421" s="114"/>
      <c r="P421" s="114"/>
    </row>
    <row r="422" spans="6:16" ht="17.25" customHeight="1">
      <c r="F422" s="114"/>
      <c r="G422" s="114"/>
      <c r="H422" s="114"/>
      <c r="I422" s="114"/>
      <c r="J422" s="114"/>
      <c r="K422" s="114"/>
      <c r="L422" s="114"/>
      <c r="M422" s="114"/>
      <c r="N422" s="114"/>
      <c r="O422" s="114"/>
      <c r="P422" s="114"/>
    </row>
    <row r="423" spans="6:16" ht="17.25" customHeight="1">
      <c r="F423" s="114"/>
      <c r="G423" s="114"/>
      <c r="H423" s="114"/>
      <c r="I423" s="114"/>
      <c r="J423" s="114"/>
      <c r="K423" s="114"/>
      <c r="L423" s="114"/>
      <c r="M423" s="114"/>
      <c r="N423" s="114"/>
      <c r="O423" s="114"/>
      <c r="P423" s="114"/>
    </row>
    <row r="424" spans="6:16" ht="17.25" customHeight="1">
      <c r="F424" s="114"/>
      <c r="G424" s="114"/>
      <c r="H424" s="114"/>
      <c r="I424" s="114"/>
      <c r="J424" s="114"/>
      <c r="K424" s="114"/>
      <c r="L424" s="114"/>
      <c r="M424" s="114"/>
      <c r="N424" s="114"/>
      <c r="O424" s="114"/>
      <c r="P424" s="114"/>
    </row>
    <row r="425" spans="6:16" ht="17.25" customHeight="1">
      <c r="F425" s="114"/>
      <c r="G425" s="114"/>
      <c r="H425" s="114"/>
      <c r="I425" s="114"/>
      <c r="J425" s="114"/>
      <c r="K425" s="114"/>
      <c r="L425" s="114"/>
      <c r="M425" s="114"/>
      <c r="N425" s="114"/>
      <c r="O425" s="114"/>
      <c r="P425" s="114"/>
    </row>
    <row r="426" spans="6:16" ht="17.25" customHeight="1">
      <c r="F426" s="114"/>
      <c r="G426" s="114"/>
      <c r="H426" s="114"/>
      <c r="I426" s="114"/>
      <c r="J426" s="114"/>
      <c r="K426" s="114"/>
      <c r="L426" s="114"/>
      <c r="M426" s="114"/>
      <c r="N426" s="114"/>
      <c r="O426" s="114"/>
      <c r="P426" s="114"/>
    </row>
    <row r="427" spans="6:16" ht="17.25" customHeight="1">
      <c r="F427" s="114"/>
      <c r="G427" s="114"/>
      <c r="H427" s="114"/>
      <c r="I427" s="114"/>
      <c r="J427" s="114"/>
      <c r="K427" s="114"/>
      <c r="L427" s="114"/>
      <c r="M427" s="114"/>
      <c r="N427" s="114"/>
      <c r="O427" s="114"/>
      <c r="P427" s="114"/>
    </row>
    <row r="428" spans="6:16" ht="17.25" customHeight="1">
      <c r="F428" s="114"/>
      <c r="G428" s="114"/>
      <c r="H428" s="114"/>
      <c r="I428" s="114"/>
      <c r="J428" s="114"/>
      <c r="K428" s="114"/>
      <c r="L428" s="114"/>
      <c r="M428" s="114"/>
      <c r="N428" s="114"/>
      <c r="O428" s="114"/>
      <c r="P428" s="114"/>
    </row>
    <row r="429" spans="6:16" ht="17.25" customHeight="1">
      <c r="F429" s="114"/>
      <c r="G429" s="114"/>
      <c r="H429" s="114"/>
      <c r="I429" s="114"/>
      <c r="J429" s="114"/>
      <c r="K429" s="114"/>
      <c r="L429" s="114"/>
      <c r="M429" s="114"/>
      <c r="N429" s="114"/>
      <c r="O429" s="114"/>
      <c r="P429" s="114"/>
    </row>
    <row r="430" spans="6:16" ht="17.25" customHeight="1">
      <c r="F430" s="114"/>
      <c r="G430" s="114"/>
      <c r="H430" s="114"/>
      <c r="I430" s="114"/>
      <c r="J430" s="114"/>
      <c r="K430" s="114"/>
      <c r="L430" s="114"/>
      <c r="M430" s="114"/>
      <c r="N430" s="114"/>
      <c r="O430" s="114"/>
      <c r="P430" s="114"/>
    </row>
    <row r="431" spans="6:16" ht="17.25" customHeight="1">
      <c r="F431" s="114"/>
      <c r="G431" s="114"/>
      <c r="H431" s="114"/>
      <c r="I431" s="114"/>
      <c r="J431" s="114"/>
      <c r="K431" s="114"/>
      <c r="L431" s="114"/>
      <c r="M431" s="114"/>
      <c r="N431" s="114"/>
      <c r="O431" s="114"/>
      <c r="P431" s="114"/>
    </row>
    <row r="432" spans="6:16" ht="17.25" customHeight="1">
      <c r="F432" s="114"/>
      <c r="G432" s="114"/>
      <c r="H432" s="114"/>
      <c r="I432" s="114"/>
      <c r="J432" s="114"/>
      <c r="K432" s="114"/>
      <c r="L432" s="114"/>
      <c r="M432" s="114"/>
      <c r="N432" s="114"/>
      <c r="O432" s="114"/>
      <c r="P432" s="114"/>
    </row>
    <row r="433" spans="6:16" ht="17.25" customHeight="1">
      <c r="F433" s="114"/>
      <c r="G433" s="114"/>
      <c r="H433" s="114"/>
      <c r="I433" s="114"/>
      <c r="J433" s="114"/>
      <c r="K433" s="114"/>
      <c r="L433" s="114"/>
      <c r="M433" s="114"/>
      <c r="N433" s="114"/>
      <c r="O433" s="114"/>
      <c r="P433" s="114"/>
    </row>
    <row r="434" spans="6:16" ht="17.25" customHeight="1">
      <c r="F434" s="114"/>
      <c r="G434" s="114"/>
      <c r="H434" s="114"/>
      <c r="I434" s="114"/>
      <c r="J434" s="114"/>
      <c r="K434" s="114"/>
      <c r="L434" s="114"/>
      <c r="M434" s="114"/>
      <c r="N434" s="114"/>
      <c r="O434" s="114"/>
      <c r="P434" s="114"/>
    </row>
    <row r="435" spans="6:16" ht="17.25" customHeight="1">
      <c r="F435" s="114"/>
      <c r="G435" s="114"/>
      <c r="H435" s="114"/>
      <c r="I435" s="114"/>
      <c r="J435" s="114"/>
      <c r="K435" s="114"/>
      <c r="L435" s="114"/>
      <c r="M435" s="114"/>
      <c r="N435" s="114"/>
      <c r="O435" s="114"/>
      <c r="P435" s="114"/>
    </row>
    <row r="436" spans="6:16" ht="17.25" customHeight="1">
      <c r="F436" s="114"/>
      <c r="G436" s="114"/>
      <c r="H436" s="114"/>
      <c r="I436" s="114"/>
      <c r="J436" s="114"/>
      <c r="K436" s="114"/>
      <c r="L436" s="114"/>
      <c r="M436" s="114"/>
      <c r="N436" s="114"/>
      <c r="O436" s="114"/>
      <c r="P436" s="114"/>
    </row>
    <row r="437" spans="6:16" ht="17.25" customHeight="1">
      <c r="F437" s="114"/>
      <c r="G437" s="114"/>
      <c r="H437" s="114"/>
      <c r="I437" s="114"/>
      <c r="J437" s="114"/>
      <c r="K437" s="114"/>
      <c r="L437" s="114"/>
      <c r="M437" s="114"/>
      <c r="N437" s="114"/>
      <c r="O437" s="114"/>
      <c r="P437" s="114"/>
    </row>
    <row r="438" spans="6:16" ht="17.25" customHeight="1">
      <c r="F438" s="114"/>
      <c r="G438" s="114"/>
      <c r="H438" s="114"/>
      <c r="I438" s="114"/>
      <c r="J438" s="114"/>
      <c r="K438" s="114"/>
      <c r="L438" s="114"/>
      <c r="M438" s="114"/>
      <c r="N438" s="114"/>
      <c r="O438" s="114"/>
      <c r="P438" s="114"/>
    </row>
    <row r="439" spans="6:16" ht="17.25" customHeight="1">
      <c r="F439" s="114"/>
      <c r="G439" s="114"/>
      <c r="H439" s="114"/>
      <c r="I439" s="114"/>
      <c r="J439" s="114"/>
      <c r="K439" s="114"/>
      <c r="L439" s="114"/>
      <c r="M439" s="114"/>
      <c r="N439" s="114"/>
      <c r="O439" s="114"/>
      <c r="P439" s="114"/>
    </row>
    <row r="440" spans="6:16" ht="17.25" customHeight="1">
      <c r="F440" s="114"/>
      <c r="G440" s="114"/>
      <c r="H440" s="114"/>
      <c r="I440" s="114"/>
      <c r="J440" s="114"/>
      <c r="K440" s="114"/>
      <c r="L440" s="114"/>
      <c r="M440" s="114"/>
      <c r="N440" s="114"/>
      <c r="O440" s="114"/>
      <c r="P440" s="114"/>
    </row>
    <row r="441" spans="6:16" ht="17.25" customHeight="1">
      <c r="F441" s="114"/>
      <c r="G441" s="114"/>
      <c r="H441" s="114"/>
      <c r="I441" s="114"/>
      <c r="J441" s="114"/>
      <c r="K441" s="114"/>
      <c r="L441" s="114"/>
      <c r="M441" s="114"/>
      <c r="N441" s="114"/>
      <c r="O441" s="114"/>
      <c r="P441" s="114"/>
    </row>
    <row r="442" spans="6:16" ht="17.25" customHeight="1">
      <c r="F442" s="114"/>
      <c r="G442" s="114"/>
      <c r="H442" s="114"/>
      <c r="I442" s="114"/>
      <c r="J442" s="114"/>
      <c r="K442" s="114"/>
      <c r="L442" s="114"/>
      <c r="M442" s="114"/>
      <c r="N442" s="114"/>
      <c r="O442" s="114"/>
      <c r="P442" s="114"/>
    </row>
    <row r="443" spans="6:16" ht="17.25" customHeight="1">
      <c r="F443" s="114"/>
      <c r="G443" s="114"/>
      <c r="H443" s="114"/>
      <c r="I443" s="114"/>
      <c r="J443" s="114"/>
      <c r="K443" s="114"/>
      <c r="L443" s="114"/>
      <c r="M443" s="114"/>
      <c r="N443" s="114"/>
      <c r="O443" s="114"/>
      <c r="P443" s="114"/>
    </row>
    <row r="444" spans="6:16" ht="17.25" customHeight="1">
      <c r="F444" s="114"/>
      <c r="G444" s="114"/>
      <c r="H444" s="114"/>
      <c r="I444" s="114"/>
      <c r="J444" s="114"/>
      <c r="K444" s="114"/>
      <c r="L444" s="114"/>
      <c r="M444" s="114"/>
      <c r="N444" s="114"/>
      <c r="O444" s="114"/>
      <c r="P444" s="114"/>
    </row>
    <row r="445" spans="6:16" ht="17.25" customHeight="1">
      <c r="F445" s="114"/>
      <c r="G445" s="114"/>
      <c r="H445" s="114"/>
      <c r="I445" s="114"/>
      <c r="J445" s="114"/>
      <c r="K445" s="114"/>
      <c r="L445" s="114"/>
      <c r="M445" s="114"/>
      <c r="N445" s="114"/>
      <c r="O445" s="114"/>
      <c r="P445" s="114"/>
    </row>
    <row r="446" spans="6:16" ht="17.25" customHeight="1">
      <c r="F446" s="114"/>
      <c r="G446" s="114"/>
      <c r="H446" s="114"/>
      <c r="I446" s="114"/>
      <c r="J446" s="114"/>
      <c r="K446" s="114"/>
      <c r="L446" s="114"/>
      <c r="M446" s="114"/>
      <c r="N446" s="114"/>
      <c r="O446" s="114"/>
      <c r="P446" s="114"/>
    </row>
    <row r="447" spans="6:16" ht="17.25" customHeight="1">
      <c r="F447" s="114"/>
      <c r="G447" s="114"/>
      <c r="H447" s="114"/>
      <c r="I447" s="114"/>
      <c r="J447" s="114"/>
      <c r="K447" s="114"/>
      <c r="L447" s="114"/>
      <c r="M447" s="114"/>
      <c r="N447" s="114"/>
      <c r="O447" s="114"/>
      <c r="P447" s="114"/>
    </row>
    <row r="448" spans="6:16" ht="17.25" customHeight="1">
      <c r="F448" s="114"/>
      <c r="G448" s="114"/>
      <c r="H448" s="114"/>
      <c r="I448" s="114"/>
      <c r="J448" s="114"/>
      <c r="K448" s="114"/>
      <c r="L448" s="114"/>
      <c r="M448" s="114"/>
      <c r="N448" s="114"/>
      <c r="O448" s="114"/>
      <c r="P448" s="114"/>
    </row>
    <row r="449" spans="6:16" ht="17.25" customHeight="1">
      <c r="F449" s="114"/>
      <c r="G449" s="114"/>
      <c r="H449" s="114"/>
      <c r="I449" s="114"/>
      <c r="J449" s="114"/>
      <c r="K449" s="114"/>
      <c r="L449" s="114"/>
      <c r="M449" s="114"/>
      <c r="N449" s="114"/>
      <c r="O449" s="114"/>
      <c r="P449" s="114"/>
    </row>
    <row r="450" spans="6:16" ht="17.25" customHeight="1">
      <c r="F450" s="114"/>
      <c r="G450" s="114"/>
      <c r="H450" s="114"/>
      <c r="I450" s="114"/>
      <c r="J450" s="114"/>
      <c r="K450" s="114"/>
      <c r="L450" s="114"/>
      <c r="M450" s="114"/>
      <c r="N450" s="114"/>
      <c r="O450" s="114"/>
      <c r="P450" s="114"/>
    </row>
    <row r="451" spans="6:16" ht="17.25" customHeight="1">
      <c r="F451" s="114"/>
      <c r="G451" s="114"/>
      <c r="H451" s="114"/>
      <c r="I451" s="114"/>
      <c r="J451" s="114"/>
      <c r="K451" s="114"/>
      <c r="L451" s="114"/>
      <c r="M451" s="114"/>
      <c r="N451" s="114"/>
      <c r="O451" s="114"/>
      <c r="P451" s="114"/>
    </row>
    <row r="452" spans="6:16" ht="17.25" customHeight="1">
      <c r="F452" s="114"/>
      <c r="G452" s="114"/>
      <c r="H452" s="114"/>
      <c r="I452" s="114"/>
      <c r="J452" s="114"/>
      <c r="K452" s="114"/>
      <c r="L452" s="114"/>
      <c r="M452" s="114"/>
      <c r="N452" s="114"/>
      <c r="O452" s="114"/>
      <c r="P452" s="114"/>
    </row>
    <row r="453" spans="6:16" ht="17.25" customHeight="1">
      <c r="F453" s="114"/>
      <c r="G453" s="114"/>
      <c r="H453" s="114"/>
      <c r="I453" s="114"/>
      <c r="J453" s="114"/>
      <c r="K453" s="114"/>
      <c r="L453" s="114"/>
      <c r="M453" s="114"/>
      <c r="N453" s="114"/>
      <c r="O453" s="114"/>
      <c r="P453" s="114"/>
    </row>
    <row r="454" spans="6:16" ht="17.25" customHeight="1">
      <c r="F454" s="114"/>
      <c r="G454" s="114"/>
      <c r="H454" s="114"/>
      <c r="I454" s="114"/>
      <c r="J454" s="114"/>
      <c r="K454" s="114"/>
      <c r="L454" s="114"/>
      <c r="M454" s="114"/>
      <c r="N454" s="114"/>
      <c r="O454" s="114"/>
      <c r="P454" s="114"/>
    </row>
    <row r="455" spans="6:16" ht="17.25" customHeight="1">
      <c r="F455" s="114"/>
      <c r="G455" s="114"/>
      <c r="H455" s="114"/>
      <c r="I455" s="114"/>
      <c r="J455" s="114"/>
      <c r="K455" s="114"/>
      <c r="L455" s="114"/>
      <c r="M455" s="114"/>
      <c r="N455" s="114"/>
      <c r="O455" s="114"/>
      <c r="P455" s="114"/>
    </row>
    <row r="456" spans="6:16" ht="17.25" customHeight="1">
      <c r="F456" s="114"/>
      <c r="G456" s="114"/>
      <c r="H456" s="114"/>
      <c r="I456" s="114"/>
      <c r="J456" s="114"/>
      <c r="K456" s="114"/>
      <c r="L456" s="114"/>
      <c r="M456" s="114"/>
      <c r="N456" s="114"/>
      <c r="O456" s="114"/>
      <c r="P456" s="114"/>
    </row>
    <row r="457" spans="6:16" ht="17.25" customHeight="1">
      <c r="F457" s="114"/>
      <c r="G457" s="114"/>
      <c r="H457" s="114"/>
      <c r="I457" s="114"/>
      <c r="J457" s="114"/>
      <c r="K457" s="114"/>
      <c r="L457" s="114"/>
      <c r="M457" s="114"/>
      <c r="N457" s="114"/>
      <c r="O457" s="114"/>
      <c r="P457" s="114"/>
    </row>
    <row r="458" spans="6:16" ht="17.25" customHeight="1">
      <c r="F458" s="114"/>
      <c r="G458" s="114"/>
      <c r="H458" s="114"/>
      <c r="I458" s="114"/>
      <c r="J458" s="114"/>
      <c r="K458" s="114"/>
      <c r="L458" s="114"/>
      <c r="M458" s="114"/>
      <c r="N458" s="114"/>
      <c r="O458" s="114"/>
      <c r="P458" s="114"/>
    </row>
    <row r="459" spans="6:16" ht="17.25" customHeight="1">
      <c r="F459" s="114"/>
      <c r="G459" s="114"/>
      <c r="H459" s="114"/>
      <c r="I459" s="114"/>
      <c r="J459" s="114"/>
      <c r="K459" s="114"/>
      <c r="L459" s="114"/>
      <c r="M459" s="114"/>
      <c r="N459" s="114"/>
      <c r="O459" s="114"/>
      <c r="P459" s="114"/>
    </row>
    <row r="460" spans="6:16" ht="17.25" customHeight="1">
      <c r="F460" s="114"/>
      <c r="G460" s="114"/>
      <c r="H460" s="114"/>
      <c r="I460" s="114"/>
      <c r="J460" s="114"/>
      <c r="K460" s="114"/>
      <c r="L460" s="114"/>
      <c r="M460" s="114"/>
      <c r="N460" s="114"/>
      <c r="O460" s="114"/>
      <c r="P460" s="114"/>
    </row>
    <row r="461" spans="6:16" ht="17.25" customHeight="1">
      <c r="F461" s="114"/>
      <c r="G461" s="114"/>
      <c r="H461" s="114"/>
      <c r="I461" s="114"/>
      <c r="J461" s="114"/>
      <c r="K461" s="114"/>
      <c r="L461" s="114"/>
      <c r="M461" s="114"/>
      <c r="N461" s="114"/>
      <c r="O461" s="114"/>
      <c r="P461" s="114"/>
    </row>
    <row r="462" spans="6:16" ht="17.25" customHeight="1">
      <c r="F462" s="114"/>
      <c r="G462" s="114"/>
      <c r="H462" s="114"/>
      <c r="I462" s="114"/>
      <c r="J462" s="114"/>
      <c r="K462" s="114"/>
      <c r="L462" s="114"/>
      <c r="M462" s="114"/>
      <c r="N462" s="114"/>
      <c r="O462" s="114"/>
      <c r="P462" s="114"/>
    </row>
    <row r="463" spans="6:16" ht="17.25" customHeight="1">
      <c r="F463" s="114"/>
      <c r="G463" s="114"/>
      <c r="H463" s="114"/>
      <c r="I463" s="114"/>
      <c r="J463" s="114"/>
      <c r="K463" s="114"/>
      <c r="L463" s="114"/>
      <c r="M463" s="114"/>
      <c r="N463" s="114"/>
      <c r="O463" s="114"/>
      <c r="P463" s="114"/>
    </row>
    <row r="464" spans="6:16" ht="17.25" customHeight="1">
      <c r="F464" s="114"/>
      <c r="G464" s="114"/>
      <c r="H464" s="114"/>
      <c r="I464" s="114"/>
      <c r="J464" s="114"/>
      <c r="K464" s="114"/>
      <c r="L464" s="114"/>
      <c r="M464" s="114"/>
      <c r="N464" s="114"/>
      <c r="O464" s="114"/>
      <c r="P464" s="114"/>
    </row>
    <row r="465" spans="6:16" ht="17.25" customHeight="1">
      <c r="F465" s="114"/>
      <c r="G465" s="114"/>
      <c r="H465" s="114"/>
      <c r="I465" s="114"/>
      <c r="J465" s="114"/>
      <c r="K465" s="114"/>
      <c r="L465" s="114"/>
      <c r="M465" s="114"/>
      <c r="N465" s="114"/>
      <c r="O465" s="114"/>
      <c r="P465" s="114"/>
    </row>
    <row r="466" spans="6:16" ht="17.25" customHeight="1">
      <c r="F466" s="114"/>
      <c r="G466" s="114"/>
      <c r="H466" s="114"/>
      <c r="I466" s="114"/>
      <c r="J466" s="114"/>
      <c r="K466" s="114"/>
      <c r="L466" s="114"/>
      <c r="M466" s="114"/>
      <c r="N466" s="114"/>
      <c r="O466" s="114"/>
      <c r="P466" s="114"/>
    </row>
    <row r="467" spans="6:16" ht="17.25" customHeight="1">
      <c r="F467" s="114"/>
      <c r="G467" s="114"/>
      <c r="H467" s="114"/>
      <c r="I467" s="114"/>
      <c r="J467" s="114"/>
      <c r="K467" s="114"/>
      <c r="L467" s="114"/>
      <c r="M467" s="114"/>
      <c r="N467" s="114"/>
      <c r="O467" s="114"/>
      <c r="P467" s="114"/>
    </row>
    <row r="468" spans="6:16" ht="17.25" customHeight="1">
      <c r="F468" s="114"/>
      <c r="G468" s="114"/>
      <c r="H468" s="114"/>
      <c r="I468" s="114"/>
      <c r="J468" s="114"/>
      <c r="K468" s="114"/>
      <c r="L468" s="114"/>
      <c r="M468" s="114"/>
      <c r="N468" s="114"/>
      <c r="O468" s="114"/>
      <c r="P468" s="114"/>
    </row>
    <row r="469" spans="6:16" ht="17.25" customHeight="1">
      <c r="F469" s="114"/>
      <c r="G469" s="114"/>
      <c r="H469" s="114"/>
      <c r="I469" s="114"/>
      <c r="J469" s="114"/>
      <c r="K469" s="114"/>
      <c r="L469" s="114"/>
      <c r="M469" s="114"/>
      <c r="N469" s="114"/>
      <c r="O469" s="114"/>
      <c r="P469" s="114"/>
    </row>
    <row r="470" spans="6:16" ht="17.25" customHeight="1">
      <c r="F470" s="114"/>
      <c r="G470" s="114"/>
      <c r="H470" s="114"/>
      <c r="I470" s="114"/>
      <c r="J470" s="114"/>
      <c r="K470" s="114"/>
      <c r="L470" s="114"/>
      <c r="M470" s="114"/>
      <c r="N470" s="114"/>
      <c r="O470" s="114"/>
      <c r="P470" s="114"/>
    </row>
    <row r="471" spans="6:16" ht="17.25" customHeight="1">
      <c r="F471" s="114"/>
      <c r="G471" s="114"/>
      <c r="H471" s="114"/>
      <c r="I471" s="114"/>
      <c r="J471" s="114"/>
      <c r="K471" s="114"/>
      <c r="L471" s="114"/>
      <c r="M471" s="114"/>
      <c r="N471" s="114"/>
      <c r="O471" s="114"/>
      <c r="P471" s="114"/>
    </row>
    <row r="472" spans="6:16" ht="17.25" customHeight="1">
      <c r="F472" s="114"/>
      <c r="G472" s="114"/>
      <c r="H472" s="114"/>
      <c r="I472" s="114"/>
      <c r="J472" s="114"/>
      <c r="K472" s="114"/>
      <c r="L472" s="114"/>
      <c r="M472" s="114"/>
      <c r="N472" s="114"/>
      <c r="O472" s="114"/>
      <c r="P472" s="114"/>
    </row>
    <row r="473" spans="6:16" ht="17.25" customHeight="1">
      <c r="F473" s="114"/>
      <c r="G473" s="114"/>
      <c r="H473" s="114"/>
      <c r="I473" s="114"/>
      <c r="J473" s="114"/>
      <c r="K473" s="114"/>
      <c r="L473" s="114"/>
      <c r="M473" s="114"/>
      <c r="N473" s="114"/>
      <c r="O473" s="114"/>
      <c r="P473" s="114"/>
    </row>
    <row r="474" spans="6:16" ht="17.25" customHeight="1">
      <c r="F474" s="114"/>
      <c r="G474" s="114"/>
      <c r="H474" s="114"/>
      <c r="I474" s="114"/>
      <c r="J474" s="114"/>
      <c r="K474" s="114"/>
      <c r="L474" s="114"/>
      <c r="M474" s="114"/>
      <c r="N474" s="114"/>
      <c r="O474" s="114"/>
      <c r="P474" s="114"/>
    </row>
    <row r="475" spans="6:16" ht="17.25" customHeight="1">
      <c r="F475" s="114"/>
      <c r="G475" s="114"/>
      <c r="H475" s="114"/>
      <c r="I475" s="114"/>
      <c r="J475" s="114"/>
      <c r="K475" s="114"/>
      <c r="L475" s="114"/>
      <c r="M475" s="114"/>
      <c r="N475" s="114"/>
      <c r="O475" s="114"/>
      <c r="P475" s="114"/>
    </row>
    <row r="476" spans="6:16" ht="17.25" customHeight="1">
      <c r="F476" s="114"/>
      <c r="G476" s="114"/>
      <c r="H476" s="114"/>
      <c r="I476" s="114"/>
      <c r="J476" s="114"/>
      <c r="K476" s="114"/>
      <c r="L476" s="114"/>
      <c r="M476" s="114"/>
      <c r="N476" s="114"/>
      <c r="O476" s="114"/>
      <c r="P476" s="114"/>
    </row>
    <row r="477" spans="6:16" ht="17.25" customHeight="1">
      <c r="F477" s="114"/>
      <c r="G477" s="114"/>
      <c r="H477" s="114"/>
      <c r="I477" s="114"/>
      <c r="J477" s="114"/>
      <c r="K477" s="114"/>
      <c r="L477" s="114"/>
      <c r="M477" s="114"/>
      <c r="N477" s="114"/>
      <c r="O477" s="114"/>
      <c r="P477" s="114"/>
    </row>
    <row r="478" spans="6:16" ht="17.25" customHeight="1">
      <c r="F478" s="114"/>
      <c r="G478" s="114"/>
      <c r="H478" s="114"/>
      <c r="I478" s="114"/>
      <c r="J478" s="114"/>
      <c r="K478" s="114"/>
      <c r="L478" s="114"/>
      <c r="M478" s="114"/>
      <c r="N478" s="114"/>
      <c r="O478" s="114"/>
      <c r="P478" s="114"/>
    </row>
    <row r="479" spans="6:16" ht="17.25" customHeight="1">
      <c r="F479" s="114"/>
      <c r="G479" s="114"/>
      <c r="H479" s="114"/>
      <c r="I479" s="114"/>
      <c r="J479" s="114"/>
      <c r="K479" s="114"/>
      <c r="L479" s="114"/>
      <c r="M479" s="114"/>
      <c r="N479" s="114"/>
      <c r="O479" s="114"/>
      <c r="P479" s="114"/>
    </row>
    <row r="480" spans="6:16" ht="17.25" customHeight="1">
      <c r="F480" s="114"/>
      <c r="G480" s="114"/>
      <c r="H480" s="114"/>
      <c r="I480" s="114"/>
      <c r="J480" s="114"/>
      <c r="K480" s="114"/>
      <c r="L480" s="114"/>
      <c r="M480" s="114"/>
      <c r="N480" s="114"/>
      <c r="O480" s="114"/>
      <c r="P480" s="114"/>
    </row>
    <row r="481" spans="6:16" ht="17.25" customHeight="1">
      <c r="F481" s="114"/>
      <c r="G481" s="114"/>
      <c r="H481" s="114"/>
      <c r="I481" s="114"/>
      <c r="J481" s="114"/>
      <c r="K481" s="114"/>
      <c r="L481" s="114"/>
      <c r="M481" s="114"/>
      <c r="N481" s="114"/>
      <c r="O481" s="114"/>
      <c r="P481" s="114"/>
    </row>
    <row r="482" spans="6:16" ht="17.25" customHeight="1">
      <c r="F482" s="114"/>
      <c r="G482" s="114"/>
      <c r="H482" s="114"/>
      <c r="I482" s="114"/>
      <c r="J482" s="114"/>
      <c r="K482" s="114"/>
      <c r="L482" s="114"/>
      <c r="M482" s="114"/>
      <c r="N482" s="114"/>
      <c r="O482" s="114"/>
      <c r="P482" s="114"/>
    </row>
    <row r="483" spans="6:16" ht="17.25" customHeight="1">
      <c r="F483" s="114"/>
      <c r="G483" s="114"/>
      <c r="H483" s="114"/>
      <c r="I483" s="114"/>
      <c r="J483" s="114"/>
      <c r="K483" s="114"/>
      <c r="L483" s="114"/>
      <c r="M483" s="114"/>
      <c r="N483" s="114"/>
      <c r="O483" s="114"/>
      <c r="P483" s="114"/>
    </row>
    <row r="484" spans="6:16" ht="17.25" customHeight="1">
      <c r="F484" s="114"/>
      <c r="G484" s="114"/>
      <c r="H484" s="114"/>
      <c r="I484" s="114"/>
      <c r="J484" s="114"/>
      <c r="K484" s="114"/>
      <c r="L484" s="114"/>
      <c r="M484" s="114"/>
      <c r="N484" s="114"/>
      <c r="O484" s="114"/>
      <c r="P484" s="114"/>
    </row>
    <row r="485" spans="6:16" ht="17.25" customHeight="1">
      <c r="F485" s="114"/>
      <c r="G485" s="114"/>
      <c r="H485" s="114"/>
      <c r="I485" s="114"/>
      <c r="J485" s="114"/>
      <c r="K485" s="114"/>
      <c r="L485" s="114"/>
      <c r="M485" s="114"/>
      <c r="N485" s="114"/>
      <c r="O485" s="114"/>
      <c r="P485" s="114"/>
    </row>
    <row r="486" spans="6:16" ht="17.25" customHeight="1">
      <c r="F486" s="114"/>
      <c r="G486" s="114"/>
      <c r="H486" s="114"/>
      <c r="I486" s="114"/>
      <c r="J486" s="114"/>
      <c r="K486" s="114"/>
      <c r="L486" s="114"/>
      <c r="M486" s="114"/>
      <c r="N486" s="114"/>
      <c r="O486" s="114"/>
      <c r="P486" s="114"/>
    </row>
    <row r="487" spans="6:16" ht="17.25" customHeight="1">
      <c r="F487" s="114"/>
      <c r="G487" s="114"/>
      <c r="H487" s="114"/>
      <c r="I487" s="114"/>
      <c r="J487" s="114"/>
      <c r="K487" s="114"/>
      <c r="L487" s="114"/>
      <c r="M487" s="114"/>
      <c r="N487" s="114"/>
      <c r="O487" s="114"/>
      <c r="P487" s="114"/>
    </row>
    <row r="488" spans="6:16" ht="17.25" customHeight="1">
      <c r="F488" s="114"/>
      <c r="G488" s="114"/>
      <c r="H488" s="114"/>
      <c r="I488" s="114"/>
      <c r="J488" s="114"/>
      <c r="K488" s="114"/>
      <c r="L488" s="114"/>
      <c r="M488" s="114"/>
      <c r="N488" s="114"/>
      <c r="O488" s="114"/>
      <c r="P488" s="114"/>
    </row>
    <row r="489" spans="6:16" ht="17.25" customHeight="1">
      <c r="F489" s="114"/>
      <c r="G489" s="114"/>
      <c r="H489" s="114"/>
      <c r="I489" s="114"/>
      <c r="J489" s="114"/>
      <c r="K489" s="114"/>
      <c r="L489" s="114"/>
      <c r="M489" s="114"/>
      <c r="N489" s="114"/>
      <c r="O489" s="114"/>
      <c r="P489" s="114"/>
    </row>
    <row r="490" spans="6:16" ht="17.25" customHeight="1">
      <c r="F490" s="114"/>
      <c r="G490" s="114"/>
      <c r="H490" s="114"/>
      <c r="I490" s="114"/>
      <c r="J490" s="114"/>
      <c r="K490" s="114"/>
      <c r="L490" s="114"/>
      <c r="M490" s="114"/>
      <c r="N490" s="114"/>
      <c r="O490" s="114"/>
      <c r="P490" s="114"/>
    </row>
    <row r="491" spans="6:16" ht="17.25" customHeight="1">
      <c r="F491" s="114"/>
      <c r="G491" s="114"/>
      <c r="H491" s="114"/>
      <c r="I491" s="114"/>
      <c r="J491" s="114"/>
      <c r="K491" s="114"/>
      <c r="L491" s="114"/>
      <c r="M491" s="114"/>
      <c r="N491" s="114"/>
      <c r="O491" s="114"/>
      <c r="P491" s="114"/>
    </row>
    <row r="492" spans="6:16" ht="17.25" customHeight="1">
      <c r="F492" s="114"/>
      <c r="G492" s="114"/>
      <c r="H492" s="114"/>
      <c r="I492" s="114"/>
      <c r="J492" s="114"/>
      <c r="K492" s="114"/>
      <c r="L492" s="114"/>
      <c r="M492" s="114"/>
      <c r="N492" s="114"/>
      <c r="O492" s="114"/>
      <c r="P492" s="114"/>
    </row>
    <row r="493" spans="6:16" ht="17.25" customHeight="1">
      <c r="F493" s="114"/>
      <c r="G493" s="114"/>
      <c r="H493" s="114"/>
      <c r="I493" s="114"/>
      <c r="J493" s="114"/>
      <c r="K493" s="114"/>
      <c r="L493" s="114"/>
      <c r="M493" s="114"/>
      <c r="N493" s="114"/>
      <c r="O493" s="114"/>
      <c r="P493" s="114"/>
    </row>
    <row r="494" spans="6:16" ht="17.25" customHeight="1">
      <c r="F494" s="114"/>
      <c r="G494" s="114"/>
      <c r="H494" s="114"/>
      <c r="I494" s="114"/>
      <c r="J494" s="114"/>
      <c r="K494" s="114"/>
      <c r="L494" s="114"/>
      <c r="M494" s="114"/>
      <c r="N494" s="114"/>
      <c r="O494" s="114"/>
      <c r="P494" s="114"/>
    </row>
    <row r="495" spans="6:16" ht="17.25" customHeight="1">
      <c r="F495" s="114"/>
      <c r="G495" s="114"/>
      <c r="H495" s="114"/>
      <c r="I495" s="114"/>
      <c r="J495" s="114"/>
      <c r="K495" s="114"/>
      <c r="L495" s="114"/>
      <c r="M495" s="114"/>
      <c r="N495" s="114"/>
      <c r="O495" s="114"/>
      <c r="P495" s="114"/>
    </row>
    <row r="496" spans="6:16" ht="17.25" customHeight="1">
      <c r="F496" s="114"/>
      <c r="G496" s="114"/>
      <c r="H496" s="114"/>
      <c r="I496" s="114"/>
      <c r="J496" s="114"/>
      <c r="K496" s="114"/>
      <c r="L496" s="114"/>
      <c r="M496" s="114"/>
      <c r="N496" s="114"/>
      <c r="O496" s="114"/>
      <c r="P496" s="114"/>
    </row>
    <row r="497" spans="6:16" ht="17.25" customHeight="1">
      <c r="F497" s="114"/>
      <c r="G497" s="114"/>
      <c r="H497" s="114"/>
      <c r="I497" s="114"/>
      <c r="J497" s="114"/>
      <c r="K497" s="114"/>
      <c r="L497" s="114"/>
      <c r="M497" s="114"/>
      <c r="N497" s="114"/>
      <c r="O497" s="114"/>
      <c r="P497" s="114"/>
    </row>
    <row r="498" spans="6:16" ht="17.25" customHeight="1">
      <c r="F498" s="114"/>
      <c r="G498" s="114"/>
      <c r="H498" s="114"/>
      <c r="I498" s="114"/>
      <c r="J498" s="114"/>
      <c r="K498" s="114"/>
      <c r="L498" s="114"/>
      <c r="M498" s="114"/>
      <c r="N498" s="114"/>
      <c r="O498" s="114"/>
      <c r="P498" s="114"/>
    </row>
    <row r="499" spans="6:16" ht="17.25" customHeight="1">
      <c r="F499" s="114"/>
      <c r="G499" s="114"/>
      <c r="H499" s="114"/>
      <c r="I499" s="114"/>
      <c r="J499" s="114"/>
      <c r="K499" s="114"/>
      <c r="L499" s="114"/>
      <c r="M499" s="114"/>
      <c r="N499" s="114"/>
      <c r="O499" s="114"/>
      <c r="P499" s="114"/>
    </row>
    <row r="500" spans="6:16" ht="17.25" customHeight="1">
      <c r="F500" s="114"/>
      <c r="G500" s="114"/>
      <c r="H500" s="114"/>
      <c r="I500" s="114"/>
      <c r="J500" s="114"/>
      <c r="K500" s="114"/>
      <c r="L500" s="114"/>
      <c r="M500" s="114"/>
      <c r="N500" s="114"/>
      <c r="O500" s="114"/>
      <c r="P500" s="114"/>
    </row>
    <row r="501" spans="6:16" ht="17.25" customHeight="1">
      <c r="F501" s="114"/>
      <c r="G501" s="114"/>
      <c r="H501" s="114"/>
      <c r="I501" s="114"/>
      <c r="J501" s="114"/>
      <c r="K501" s="114"/>
      <c r="L501" s="114"/>
      <c r="M501" s="114"/>
      <c r="N501" s="114"/>
      <c r="O501" s="114"/>
      <c r="P501" s="114"/>
    </row>
    <row r="502" spans="6:16" ht="17.25" customHeight="1">
      <c r="F502" s="114"/>
      <c r="G502" s="114"/>
      <c r="H502" s="114"/>
      <c r="I502" s="114"/>
      <c r="J502" s="114"/>
      <c r="K502" s="114"/>
      <c r="L502" s="114"/>
      <c r="M502" s="114"/>
      <c r="N502" s="114"/>
      <c r="O502" s="114"/>
      <c r="P502" s="114"/>
    </row>
    <row r="503" spans="6:16" ht="17.25" customHeight="1">
      <c r="F503" s="114"/>
      <c r="G503" s="114"/>
      <c r="H503" s="114"/>
      <c r="I503" s="114"/>
      <c r="J503" s="114"/>
      <c r="K503" s="114"/>
      <c r="L503" s="114"/>
      <c r="M503" s="114"/>
      <c r="N503" s="114"/>
      <c r="O503" s="114"/>
      <c r="P503" s="114"/>
    </row>
    <row r="504" spans="6:16" ht="17.25" customHeight="1">
      <c r="F504" s="114"/>
      <c r="G504" s="114"/>
      <c r="H504" s="114"/>
      <c r="I504" s="114"/>
      <c r="J504" s="114"/>
      <c r="K504" s="114"/>
      <c r="L504" s="114"/>
      <c r="M504" s="114"/>
      <c r="N504" s="114"/>
      <c r="O504" s="114"/>
      <c r="P504" s="114"/>
    </row>
    <row r="505" spans="6:16" ht="17.25" customHeight="1">
      <c r="F505" s="114"/>
      <c r="G505" s="114"/>
      <c r="H505" s="114"/>
      <c r="I505" s="114"/>
      <c r="J505" s="114"/>
      <c r="K505" s="114"/>
      <c r="L505" s="114"/>
      <c r="M505" s="114"/>
      <c r="N505" s="114"/>
      <c r="O505" s="114"/>
      <c r="P505" s="114"/>
    </row>
    <row r="506" spans="6:16" ht="17.25" customHeight="1">
      <c r="F506" s="114"/>
      <c r="G506" s="114"/>
      <c r="H506" s="114"/>
      <c r="I506" s="114"/>
      <c r="J506" s="114"/>
      <c r="K506" s="114"/>
      <c r="L506" s="114"/>
      <c r="M506" s="114"/>
      <c r="N506" s="114"/>
      <c r="O506" s="114"/>
      <c r="P506" s="114"/>
    </row>
    <row r="507" spans="6:16" ht="17.25" customHeight="1">
      <c r="F507" s="114"/>
      <c r="G507" s="114"/>
      <c r="H507" s="114"/>
      <c r="I507" s="114"/>
      <c r="J507" s="114"/>
      <c r="K507" s="114"/>
      <c r="L507" s="114"/>
      <c r="M507" s="114"/>
      <c r="N507" s="114"/>
      <c r="O507" s="114"/>
      <c r="P507" s="114"/>
    </row>
    <row r="508" spans="6:16" ht="17.25" customHeight="1">
      <c r="F508" s="114"/>
      <c r="G508" s="114"/>
      <c r="H508" s="114"/>
      <c r="I508" s="114"/>
      <c r="J508" s="114"/>
      <c r="K508" s="114"/>
      <c r="L508" s="114"/>
      <c r="M508" s="114"/>
      <c r="N508" s="114"/>
      <c r="O508" s="114"/>
      <c r="P508" s="114"/>
    </row>
    <row r="509" spans="6:16" ht="17.25" customHeight="1">
      <c r="F509" s="114"/>
      <c r="G509" s="114"/>
      <c r="H509" s="114"/>
      <c r="I509" s="114"/>
      <c r="J509" s="114"/>
      <c r="K509" s="114"/>
      <c r="L509" s="114"/>
      <c r="M509" s="114"/>
      <c r="N509" s="114"/>
      <c r="O509" s="114"/>
      <c r="P509" s="114"/>
    </row>
    <row r="510" spans="6:16" ht="17.25" customHeight="1">
      <c r="F510" s="114"/>
      <c r="G510" s="114"/>
      <c r="H510" s="114"/>
      <c r="I510" s="114"/>
      <c r="J510" s="114"/>
      <c r="K510" s="114"/>
      <c r="L510" s="114"/>
      <c r="M510" s="114"/>
      <c r="N510" s="114"/>
      <c r="O510" s="114"/>
      <c r="P510" s="114"/>
    </row>
    <row r="511" spans="6:16" ht="17.25" customHeight="1">
      <c r="F511" s="114"/>
      <c r="G511" s="114"/>
      <c r="H511" s="114"/>
      <c r="I511" s="114"/>
      <c r="J511" s="114"/>
      <c r="K511" s="114"/>
      <c r="L511" s="114"/>
      <c r="M511" s="114"/>
      <c r="N511" s="114"/>
      <c r="O511" s="114"/>
      <c r="P511" s="114"/>
    </row>
    <row r="512" spans="6:16" ht="17.25" customHeight="1">
      <c r="F512" s="114"/>
      <c r="G512" s="114"/>
      <c r="H512" s="114"/>
      <c r="I512" s="114"/>
      <c r="J512" s="114"/>
      <c r="K512" s="114"/>
      <c r="L512" s="114"/>
      <c r="M512" s="114"/>
      <c r="N512" s="114"/>
      <c r="O512" s="114"/>
      <c r="P512" s="114"/>
    </row>
    <row r="513" spans="6:16" ht="17.25" customHeight="1">
      <c r="F513" s="114"/>
      <c r="G513" s="114"/>
      <c r="H513" s="114"/>
      <c r="I513" s="114"/>
      <c r="J513" s="114"/>
      <c r="K513" s="114"/>
      <c r="L513" s="114"/>
      <c r="M513" s="114"/>
      <c r="N513" s="114"/>
      <c r="O513" s="114"/>
      <c r="P513" s="114"/>
    </row>
    <row r="514" spans="6:16" ht="17.25" customHeight="1">
      <c r="F514" s="114"/>
      <c r="G514" s="114"/>
      <c r="H514" s="114"/>
      <c r="I514" s="114"/>
      <c r="J514" s="114"/>
      <c r="K514" s="114"/>
      <c r="L514" s="114"/>
      <c r="M514" s="114"/>
      <c r="N514" s="114"/>
      <c r="O514" s="114"/>
      <c r="P514" s="114"/>
    </row>
    <row r="515" spans="6:16" ht="17.25" customHeight="1">
      <c r="F515" s="114"/>
      <c r="G515" s="114"/>
      <c r="H515" s="114"/>
      <c r="I515" s="114"/>
      <c r="J515" s="114"/>
      <c r="K515" s="114"/>
      <c r="L515" s="114"/>
      <c r="M515" s="114"/>
      <c r="N515" s="114"/>
      <c r="O515" s="114"/>
      <c r="P515" s="114"/>
    </row>
    <row r="516" spans="6:16" ht="17.25" customHeight="1">
      <c r="F516" s="114"/>
      <c r="G516" s="114"/>
      <c r="H516" s="114"/>
      <c r="I516" s="114"/>
      <c r="J516" s="114"/>
      <c r="K516" s="114"/>
      <c r="L516" s="114"/>
      <c r="M516" s="114"/>
      <c r="N516" s="114"/>
      <c r="O516" s="114"/>
      <c r="P516" s="114"/>
    </row>
    <row r="517" spans="6:16" ht="17.25" customHeight="1">
      <c r="F517" s="114"/>
      <c r="G517" s="114"/>
      <c r="H517" s="114"/>
      <c r="I517" s="114"/>
      <c r="J517" s="114"/>
      <c r="K517" s="114"/>
      <c r="L517" s="114"/>
      <c r="M517" s="114"/>
      <c r="N517" s="114"/>
      <c r="O517" s="114"/>
      <c r="P517" s="114"/>
    </row>
    <row r="518" spans="6:16" ht="17.25" customHeight="1">
      <c r="F518" s="114"/>
      <c r="G518" s="114"/>
      <c r="H518" s="114"/>
      <c r="I518" s="114"/>
      <c r="J518" s="114"/>
      <c r="K518" s="114"/>
      <c r="L518" s="114"/>
      <c r="M518" s="114"/>
      <c r="N518" s="114"/>
      <c r="O518" s="114"/>
      <c r="P518" s="114"/>
    </row>
    <row r="519" spans="6:16" ht="17.25" customHeight="1">
      <c r="F519" s="114"/>
      <c r="G519" s="114"/>
      <c r="H519" s="114"/>
      <c r="I519" s="114"/>
      <c r="J519" s="114"/>
      <c r="K519" s="114"/>
      <c r="L519" s="114"/>
      <c r="M519" s="114"/>
      <c r="N519" s="114"/>
      <c r="O519" s="114"/>
      <c r="P519" s="114"/>
    </row>
    <row r="520" spans="6:16" ht="17.25" customHeight="1">
      <c r="F520" s="114"/>
      <c r="G520" s="114"/>
      <c r="H520" s="114"/>
      <c r="I520" s="114"/>
      <c r="J520" s="114"/>
      <c r="K520" s="114"/>
      <c r="L520" s="114"/>
      <c r="M520" s="114"/>
      <c r="N520" s="114"/>
      <c r="O520" s="114"/>
      <c r="P520" s="114"/>
    </row>
    <row r="521" spans="6:16" ht="17.25" customHeight="1">
      <c r="F521" s="114"/>
      <c r="G521" s="114"/>
      <c r="H521" s="114"/>
      <c r="I521" s="114"/>
      <c r="J521" s="114"/>
      <c r="K521" s="114"/>
      <c r="L521" s="114"/>
      <c r="M521" s="114"/>
      <c r="N521" s="114"/>
      <c r="O521" s="114"/>
      <c r="P521" s="114"/>
    </row>
    <row r="522" spans="6:16" ht="17.25" customHeight="1">
      <c r="F522" s="114"/>
      <c r="G522" s="114"/>
      <c r="H522" s="114"/>
      <c r="I522" s="114"/>
      <c r="J522" s="114"/>
      <c r="K522" s="114"/>
      <c r="L522" s="114"/>
      <c r="M522" s="114"/>
      <c r="N522" s="114"/>
      <c r="O522" s="114"/>
      <c r="P522" s="114"/>
    </row>
    <row r="523" spans="6:16" ht="17.25" customHeight="1">
      <c r="F523" s="114"/>
      <c r="G523" s="114"/>
      <c r="H523" s="114"/>
      <c r="I523" s="114"/>
      <c r="J523" s="114"/>
      <c r="K523" s="114"/>
      <c r="L523" s="114"/>
      <c r="M523" s="114"/>
      <c r="N523" s="114"/>
      <c r="O523" s="114"/>
      <c r="P523" s="114"/>
    </row>
    <row r="524" spans="6:16" ht="17.25" customHeight="1">
      <c r="F524" s="114"/>
      <c r="G524" s="114"/>
      <c r="H524" s="114"/>
      <c r="I524" s="114"/>
      <c r="J524" s="114"/>
      <c r="K524" s="114"/>
      <c r="L524" s="114"/>
      <c r="M524" s="114"/>
      <c r="N524" s="114"/>
      <c r="O524" s="114"/>
      <c r="P524" s="114"/>
    </row>
    <row r="525" spans="6:16" ht="17.25" customHeight="1">
      <c r="F525" s="114"/>
      <c r="G525" s="114"/>
      <c r="H525" s="114"/>
      <c r="I525" s="114"/>
      <c r="J525" s="114"/>
      <c r="K525" s="114"/>
      <c r="L525" s="114"/>
      <c r="M525" s="114"/>
      <c r="N525" s="114"/>
      <c r="O525" s="114"/>
      <c r="P525" s="114"/>
    </row>
    <row r="526" spans="6:16" ht="17.25" customHeight="1">
      <c r="F526" s="114"/>
      <c r="G526" s="114"/>
      <c r="H526" s="114"/>
      <c r="I526" s="114"/>
      <c r="J526" s="114"/>
      <c r="K526" s="114"/>
      <c r="L526" s="114"/>
      <c r="M526" s="114"/>
      <c r="N526" s="114"/>
      <c r="O526" s="114"/>
      <c r="P526" s="114"/>
    </row>
    <row r="527" spans="6:16" ht="17.25" customHeight="1">
      <c r="F527" s="114"/>
      <c r="G527" s="114"/>
      <c r="H527" s="114"/>
      <c r="I527" s="114"/>
      <c r="J527" s="114"/>
      <c r="K527" s="114"/>
      <c r="L527" s="114"/>
      <c r="M527" s="114"/>
      <c r="N527" s="114"/>
      <c r="O527" s="114"/>
      <c r="P527" s="114"/>
    </row>
    <row r="528" spans="6:16" ht="17.25" customHeight="1">
      <c r="F528" s="114"/>
      <c r="G528" s="114"/>
      <c r="H528" s="114"/>
      <c r="I528" s="114"/>
      <c r="J528" s="114"/>
      <c r="K528" s="114"/>
      <c r="L528" s="114"/>
      <c r="M528" s="114"/>
      <c r="N528" s="114"/>
      <c r="O528" s="114"/>
      <c r="P528" s="114"/>
    </row>
    <row r="529" spans="6:16" ht="17.25" customHeight="1">
      <c r="F529" s="114"/>
      <c r="G529" s="114"/>
      <c r="H529" s="114"/>
      <c r="I529" s="114"/>
      <c r="J529" s="114"/>
      <c r="K529" s="114"/>
      <c r="L529" s="114"/>
      <c r="M529" s="114"/>
      <c r="N529" s="114"/>
      <c r="O529" s="114"/>
      <c r="P529" s="114"/>
    </row>
    <row r="530" spans="6:16" ht="17.25" customHeight="1">
      <c r="F530" s="114"/>
      <c r="G530" s="114"/>
      <c r="H530" s="114"/>
      <c r="I530" s="114"/>
      <c r="J530" s="114"/>
      <c r="K530" s="114"/>
      <c r="L530" s="114"/>
      <c r="M530" s="114"/>
      <c r="N530" s="114"/>
      <c r="O530" s="114"/>
      <c r="P530" s="114"/>
    </row>
    <row r="531" spans="6:16" ht="17.25" customHeight="1">
      <c r="F531" s="114"/>
      <c r="G531" s="114"/>
      <c r="H531" s="114"/>
      <c r="I531" s="114"/>
      <c r="J531" s="114"/>
      <c r="K531" s="114"/>
      <c r="L531" s="114"/>
      <c r="M531" s="114"/>
      <c r="N531" s="114"/>
      <c r="O531" s="114"/>
      <c r="P531" s="114"/>
    </row>
  </sheetData>
  <mergeCells count="2">
    <mergeCell ref="B1:D1"/>
    <mergeCell ref="F1:P1"/>
  </mergeCells>
  <phoneticPr fontId="1" type="noConversion"/>
  <dataValidations count="3">
    <dataValidation type="custom" allowBlank="1" showInputMessage="1" showErrorMessage="1" errorTitle="중복 발생" error="이미 있는 값 입니다." sqref="B1:B1048576" xr:uid="{C434F361-54BB-4C5B-8EEF-0B40DCEB5062}">
      <formula1>COUNTIF($B:$B, B1)=1</formula1>
    </dataValidation>
    <dataValidation type="custom" allowBlank="1" showInputMessage="1" showErrorMessage="1" errorTitle="이미 있는 값입니다." sqref="C1:C1048576" xr:uid="{BE4E3C24-5DE8-47B9-9A99-6ED3DF13191C}">
      <formula1>COUNTIF($C:$C, C1)=1</formula1>
    </dataValidation>
    <dataValidation type="custom" allowBlank="1" showInputMessage="1" showErrorMessage="1" errorTitle="이미 있는 값 입니다." sqref="D1:D1048576" xr:uid="{F5FE8C44-E960-4561-A30E-A429EADA8319}">
      <formula1>COUNTIF($D:$D, D1)=1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>
    <tabColor rgb="FFFFC000"/>
  </sheetPr>
  <dimension ref="A1:AD64"/>
  <sheetViews>
    <sheetView tabSelected="1" topLeftCell="F1" zoomScaleNormal="100" workbookViewId="0">
      <selection activeCell="I3" sqref="I3"/>
    </sheetView>
  </sheetViews>
  <sheetFormatPr defaultColWidth="9" defaultRowHeight="13.5"/>
  <cols>
    <col min="1" max="1" width="0" style="1" hidden="1" customWidth="1"/>
    <col min="2" max="2" width="15" style="1" hidden="1" customWidth="1"/>
    <col min="3" max="3" width="37.75" style="1" hidden="1" customWidth="1"/>
    <col min="4" max="4" width="21.5" style="1" hidden="1" customWidth="1"/>
    <col min="5" max="5" width="8.5" style="1" hidden="1" customWidth="1"/>
    <col min="6" max="6" width="8.5" style="1" customWidth="1"/>
    <col min="7" max="8" width="11.625" style="1" customWidth="1"/>
    <col min="9" max="9" width="23.375" style="1" customWidth="1"/>
    <col min="10" max="10" width="43.25" style="1" bestFit="1" customWidth="1"/>
    <col min="11" max="11" width="49.75" style="1" customWidth="1"/>
    <col min="12" max="15" width="10.375" style="62" customWidth="1"/>
    <col min="16" max="16" width="62.75" style="155" customWidth="1"/>
    <col min="17" max="17" width="10.375" style="62" bestFit="1" customWidth="1"/>
    <col min="18" max="18" width="14.125" style="62" customWidth="1"/>
    <col min="19" max="19" width="3.625" style="1" customWidth="1"/>
    <col min="20" max="20" width="18.375" style="1" hidden="1" customWidth="1"/>
    <col min="21" max="21" width="1.5" style="1" customWidth="1"/>
    <col min="22" max="22" width="9" style="1"/>
    <col min="23" max="23" width="14.25" style="1" customWidth="1"/>
    <col min="24" max="24" width="9" style="1"/>
    <col min="25" max="25" width="2.375" style="1" customWidth="1"/>
    <col min="26" max="26" width="9" style="1"/>
    <col min="27" max="27" width="17.25" style="1" customWidth="1"/>
    <col min="28" max="16384" width="9" style="1"/>
  </cols>
  <sheetData>
    <row r="1" spans="1:27" ht="16.5" customHeight="1">
      <c r="A1" s="473" t="s">
        <v>1221</v>
      </c>
      <c r="B1" s="473"/>
      <c r="C1" s="473"/>
      <c r="D1" s="473"/>
      <c r="E1" s="476" t="s">
        <v>1222</v>
      </c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  <c r="R1" s="476"/>
      <c r="T1" s="1" t="s">
        <v>1223</v>
      </c>
    </row>
    <row r="2" spans="1:27">
      <c r="A2" s="434" t="s">
        <v>1224</v>
      </c>
      <c r="B2" s="434" t="s">
        <v>1225</v>
      </c>
      <c r="C2" s="434" t="s">
        <v>1226</v>
      </c>
      <c r="D2" s="434" t="s">
        <v>1227</v>
      </c>
      <c r="E2" s="435" t="s">
        <v>1228</v>
      </c>
      <c r="F2" s="435" t="s">
        <v>1229</v>
      </c>
      <c r="G2" s="435" t="s">
        <v>1230</v>
      </c>
      <c r="H2" s="435" t="s">
        <v>1231</v>
      </c>
      <c r="I2" s="435" t="s">
        <v>1232</v>
      </c>
      <c r="J2" s="435" t="s">
        <v>1233</v>
      </c>
      <c r="K2" s="435" t="s">
        <v>1234</v>
      </c>
      <c r="L2" s="435" t="s">
        <v>1235</v>
      </c>
      <c r="M2" s="435" t="s">
        <v>1236</v>
      </c>
      <c r="N2" s="435" t="s">
        <v>1237</v>
      </c>
      <c r="O2" s="435" t="s">
        <v>1238</v>
      </c>
      <c r="P2" s="436" t="s">
        <v>1239</v>
      </c>
      <c r="Q2" s="435" t="s">
        <v>1240</v>
      </c>
      <c r="R2" s="435" t="s">
        <v>1241</v>
      </c>
      <c r="T2" s="2" t="s">
        <v>1242</v>
      </c>
      <c r="U2" s="60" t="s">
        <v>1242</v>
      </c>
      <c r="V2" s="471" t="s">
        <v>1243</v>
      </c>
      <c r="W2" s="475"/>
      <c r="X2" s="472"/>
      <c r="Z2" s="471" t="s">
        <v>1244</v>
      </c>
      <c r="AA2" s="472"/>
    </row>
    <row r="3" spans="1:27" ht="16.5" hidden="1">
      <c r="A3" s="80"/>
      <c r="B3" s="80"/>
      <c r="C3" s="437"/>
      <c r="D3" s="437"/>
      <c r="E3" s="79"/>
      <c r="F3" s="76">
        <v>1</v>
      </c>
      <c r="G3" s="76" t="s">
        <v>1245</v>
      </c>
      <c r="H3" s="76" t="s">
        <v>1246</v>
      </c>
      <c r="I3" s="438" t="s">
        <v>1129</v>
      </c>
      <c r="J3" s="3" t="s">
        <v>1247</v>
      </c>
      <c r="K3" s="439" t="s">
        <v>1248</v>
      </c>
      <c r="L3" s="433" t="s">
        <v>1249</v>
      </c>
      <c r="M3" s="433"/>
      <c r="N3" s="433"/>
      <c r="O3" s="433"/>
      <c r="P3" s="439"/>
      <c r="Q3" s="433"/>
      <c r="R3" s="433"/>
      <c r="T3" s="77"/>
      <c r="U3" s="78"/>
      <c r="V3" s="474" t="s">
        <v>1250</v>
      </c>
      <c r="W3" s="474"/>
      <c r="X3" s="79">
        <f t="shared" ref="X3:X11" si="0">COUNTIF($G:$G,V3)</f>
        <v>28</v>
      </c>
    </row>
    <row r="4" spans="1:27" ht="16.5" hidden="1">
      <c r="A4" s="80"/>
      <c r="B4" s="80"/>
      <c r="C4" s="437"/>
      <c r="D4" s="437"/>
      <c r="E4" s="79"/>
      <c r="F4" s="76">
        <v>2</v>
      </c>
      <c r="G4" s="76" t="s">
        <v>1245</v>
      </c>
      <c r="H4" s="76" t="s">
        <v>1246</v>
      </c>
      <c r="I4" s="438" t="s">
        <v>1251</v>
      </c>
      <c r="J4" s="3" t="s">
        <v>1252</v>
      </c>
      <c r="K4" s="439" t="s">
        <v>1253</v>
      </c>
      <c r="L4" s="433" t="s">
        <v>1249</v>
      </c>
      <c r="M4" s="433"/>
      <c r="N4" s="433"/>
      <c r="O4" s="433"/>
      <c r="P4" s="439"/>
      <c r="Q4" s="433"/>
      <c r="R4" s="433"/>
      <c r="T4" s="77"/>
      <c r="U4" s="78"/>
      <c r="V4" s="474" t="s">
        <v>1250</v>
      </c>
      <c r="W4" s="474"/>
      <c r="X4" s="79">
        <f t="shared" si="0"/>
        <v>28</v>
      </c>
    </row>
    <row r="5" spans="1:27" ht="16.5" hidden="1">
      <c r="A5" s="80"/>
      <c r="B5" s="80"/>
      <c r="C5" s="437"/>
      <c r="D5" s="437"/>
      <c r="E5" s="79"/>
      <c r="F5" s="76">
        <v>3</v>
      </c>
      <c r="G5" s="76" t="s">
        <v>1245</v>
      </c>
      <c r="H5" s="76" t="s">
        <v>1246</v>
      </c>
      <c r="I5" s="440" t="s">
        <v>1254</v>
      </c>
      <c r="J5" s="250" t="s">
        <v>1255</v>
      </c>
      <c r="K5" s="439" t="s">
        <v>1256</v>
      </c>
      <c r="L5" s="433" t="s">
        <v>1249</v>
      </c>
      <c r="M5" s="433"/>
      <c r="N5" s="433"/>
      <c r="O5" s="433"/>
      <c r="P5" s="439"/>
      <c r="Q5" s="433"/>
      <c r="R5" s="433"/>
      <c r="T5" s="77"/>
      <c r="U5" s="78"/>
      <c r="V5" s="474" t="s">
        <v>1250</v>
      </c>
      <c r="W5" s="474"/>
      <c r="X5" s="79">
        <f t="shared" si="0"/>
        <v>28</v>
      </c>
    </row>
    <row r="6" spans="1:27" ht="16.5" hidden="1">
      <c r="A6" s="80"/>
      <c r="B6" s="80"/>
      <c r="C6" s="437"/>
      <c r="D6" s="437"/>
      <c r="E6" s="79"/>
      <c r="F6" s="76">
        <v>4</v>
      </c>
      <c r="G6" s="76" t="s">
        <v>1245</v>
      </c>
      <c r="H6" s="76" t="s">
        <v>1246</v>
      </c>
      <c r="I6" s="440" t="s">
        <v>1257</v>
      </c>
      <c r="J6" s="250" t="s">
        <v>1258</v>
      </c>
      <c r="K6" s="439" t="s">
        <v>1259</v>
      </c>
      <c r="L6" s="433" t="s">
        <v>1249</v>
      </c>
      <c r="M6" s="433"/>
      <c r="N6" s="433"/>
      <c r="O6" s="433"/>
      <c r="P6" s="439"/>
      <c r="Q6" s="433"/>
      <c r="R6" s="433"/>
      <c r="T6" s="77"/>
      <c r="U6" s="78"/>
      <c r="V6" s="474" t="s">
        <v>1250</v>
      </c>
      <c r="W6" s="474"/>
      <c r="X6" s="79">
        <f t="shared" si="0"/>
        <v>28</v>
      </c>
    </row>
    <row r="7" spans="1:27" ht="16.5">
      <c r="A7" s="80"/>
      <c r="B7" s="80"/>
      <c r="C7" s="437"/>
      <c r="D7" s="437"/>
      <c r="E7" s="79"/>
      <c r="F7" s="76">
        <v>5</v>
      </c>
      <c r="G7" s="76" t="s">
        <v>1245</v>
      </c>
      <c r="H7" s="76" t="s">
        <v>1246</v>
      </c>
      <c r="I7" s="440" t="s">
        <v>1260</v>
      </c>
      <c r="J7" s="250" t="s">
        <v>13</v>
      </c>
      <c r="K7" s="439" t="s">
        <v>1261</v>
      </c>
      <c r="L7" s="433" t="s">
        <v>1249</v>
      </c>
      <c r="M7" s="433"/>
      <c r="N7" s="433"/>
      <c r="O7" s="433" t="s">
        <v>1262</v>
      </c>
      <c r="P7" s="439"/>
      <c r="Q7" s="433"/>
      <c r="R7" s="433"/>
      <c r="T7" s="77"/>
      <c r="U7" s="78"/>
      <c r="V7" s="474" t="s">
        <v>1250</v>
      </c>
      <c r="W7" s="474"/>
      <c r="X7" s="79">
        <f t="shared" si="0"/>
        <v>28</v>
      </c>
    </row>
    <row r="8" spans="1:27" ht="16.5" hidden="1">
      <c r="A8" s="80">
        <v>1</v>
      </c>
      <c r="B8" s="80" t="s">
        <v>1263</v>
      </c>
      <c r="C8" s="437"/>
      <c r="D8" s="437"/>
      <c r="E8" s="79">
        <v>18</v>
      </c>
      <c r="F8" s="76">
        <v>6</v>
      </c>
      <c r="G8" s="76" t="s">
        <v>1245</v>
      </c>
      <c r="H8" s="76" t="s">
        <v>1246</v>
      </c>
      <c r="I8" s="441" t="s">
        <v>1264</v>
      </c>
      <c r="J8" s="250" t="s">
        <v>1265</v>
      </c>
      <c r="K8" s="439" t="s">
        <v>1266</v>
      </c>
      <c r="L8" s="433" t="s">
        <v>1249</v>
      </c>
      <c r="M8" s="433"/>
      <c r="N8" s="433"/>
      <c r="O8" s="433"/>
      <c r="P8" s="439"/>
      <c r="Q8" s="433"/>
      <c r="R8" s="433"/>
      <c r="T8" s="77" t="s">
        <v>1267</v>
      </c>
      <c r="U8" s="78" t="s">
        <v>1268</v>
      </c>
      <c r="V8" s="474" t="s">
        <v>1269</v>
      </c>
      <c r="W8" s="474"/>
      <c r="X8" s="79">
        <f t="shared" si="0"/>
        <v>7</v>
      </c>
    </row>
    <row r="9" spans="1:27" ht="16.5" hidden="1">
      <c r="A9" s="80">
        <v>1</v>
      </c>
      <c r="B9" s="80" t="s">
        <v>1263</v>
      </c>
      <c r="C9" s="437"/>
      <c r="D9" s="437"/>
      <c r="E9" s="79">
        <v>18</v>
      </c>
      <c r="F9" s="76">
        <v>7</v>
      </c>
      <c r="G9" s="76" t="s">
        <v>1245</v>
      </c>
      <c r="H9" s="76" t="s">
        <v>1246</v>
      </c>
      <c r="I9" s="441" t="s">
        <v>1270</v>
      </c>
      <c r="J9" s="250" t="s">
        <v>1271</v>
      </c>
      <c r="K9" s="439" t="s">
        <v>1271</v>
      </c>
      <c r="L9" s="433" t="s">
        <v>1249</v>
      </c>
      <c r="M9" s="433"/>
      <c r="N9" s="433"/>
      <c r="O9" s="433"/>
      <c r="P9" s="439"/>
      <c r="Q9" s="433"/>
      <c r="R9" s="433"/>
      <c r="T9" s="77" t="s">
        <v>1267</v>
      </c>
      <c r="U9" s="78" t="s">
        <v>1268</v>
      </c>
      <c r="V9" s="470" t="s">
        <v>1272</v>
      </c>
      <c r="W9" s="470"/>
      <c r="X9" s="79">
        <f t="shared" si="0"/>
        <v>7</v>
      </c>
    </row>
    <row r="10" spans="1:27" ht="16.5" hidden="1">
      <c r="A10" s="80">
        <v>2</v>
      </c>
      <c r="B10" s="80" t="s">
        <v>1273</v>
      </c>
      <c r="C10" s="437"/>
      <c r="D10" s="437"/>
      <c r="E10" s="79">
        <v>18</v>
      </c>
      <c r="F10" s="76">
        <v>8</v>
      </c>
      <c r="G10" s="76" t="s">
        <v>1245</v>
      </c>
      <c r="H10" s="76" t="s">
        <v>1246</v>
      </c>
      <c r="I10" s="442" t="s">
        <v>1274</v>
      </c>
      <c r="J10" s="76" t="s">
        <v>1275</v>
      </c>
      <c r="K10" s="439" t="s">
        <v>1276</v>
      </c>
      <c r="L10" s="433" t="s">
        <v>1277</v>
      </c>
      <c r="M10" s="433"/>
      <c r="N10" s="433"/>
      <c r="O10" s="433"/>
      <c r="P10" s="439" t="s">
        <v>1278</v>
      </c>
      <c r="Q10" s="433" t="s">
        <v>1279</v>
      </c>
      <c r="R10" s="433" t="s">
        <v>1280</v>
      </c>
      <c r="T10" s="82" t="s">
        <v>1281</v>
      </c>
      <c r="U10" s="83" t="s">
        <v>1282</v>
      </c>
      <c r="V10" s="470" t="s">
        <v>1283</v>
      </c>
      <c r="W10" s="470"/>
      <c r="X10" s="79">
        <f t="shared" si="0"/>
        <v>5</v>
      </c>
    </row>
    <row r="11" spans="1:27" ht="16.5" hidden="1">
      <c r="A11" s="80">
        <v>3</v>
      </c>
      <c r="B11" s="80" t="s">
        <v>1284</v>
      </c>
      <c r="C11" s="437"/>
      <c r="D11" s="437"/>
      <c r="E11" s="79">
        <v>18</v>
      </c>
      <c r="F11" s="76">
        <v>9</v>
      </c>
      <c r="G11" s="76" t="s">
        <v>1245</v>
      </c>
      <c r="H11" s="76" t="s">
        <v>1246</v>
      </c>
      <c r="I11" s="442" t="s">
        <v>18</v>
      </c>
      <c r="J11" s="76" t="s">
        <v>5</v>
      </c>
      <c r="K11" s="439" t="s">
        <v>1285</v>
      </c>
      <c r="L11" s="433" t="s">
        <v>1249</v>
      </c>
      <c r="M11" s="433"/>
      <c r="N11" s="433"/>
      <c r="O11" s="433"/>
      <c r="P11" s="439" t="s">
        <v>1286</v>
      </c>
      <c r="Q11" s="433"/>
      <c r="R11" s="433"/>
      <c r="T11" s="82" t="s">
        <v>1287</v>
      </c>
      <c r="U11" s="83" t="s">
        <v>1288</v>
      </c>
      <c r="V11" s="470" t="s">
        <v>1208</v>
      </c>
      <c r="W11" s="470"/>
      <c r="X11" s="79">
        <f t="shared" si="0"/>
        <v>7</v>
      </c>
    </row>
    <row r="12" spans="1:27" ht="16.5" hidden="1">
      <c r="A12" s="80">
        <v>4</v>
      </c>
      <c r="B12" s="80" t="s">
        <v>1289</v>
      </c>
      <c r="C12" s="80" t="s">
        <v>1290</v>
      </c>
      <c r="D12" s="80" t="s">
        <v>1291</v>
      </c>
      <c r="E12" s="79">
        <v>19</v>
      </c>
      <c r="F12" s="76">
        <v>10</v>
      </c>
      <c r="G12" s="76" t="s">
        <v>1245</v>
      </c>
      <c r="H12" s="76" t="s">
        <v>1246</v>
      </c>
      <c r="I12" s="442" t="s">
        <v>1292</v>
      </c>
      <c r="J12" s="76" t="s">
        <v>1293</v>
      </c>
      <c r="K12" s="439" t="s">
        <v>1294</v>
      </c>
      <c r="L12" s="433" t="s">
        <v>1277</v>
      </c>
      <c r="M12" s="433"/>
      <c r="N12" s="433"/>
      <c r="O12" s="433"/>
      <c r="P12" s="439" t="s">
        <v>1286</v>
      </c>
      <c r="Q12" s="433" t="s">
        <v>1279</v>
      </c>
      <c r="R12" s="433" t="s">
        <v>1280</v>
      </c>
      <c r="T12" s="82" t="s">
        <v>1295</v>
      </c>
      <c r="U12" s="83" t="s">
        <v>1296</v>
      </c>
      <c r="V12" s="474" t="s">
        <v>1297</v>
      </c>
      <c r="W12" s="76" t="s">
        <v>1298</v>
      </c>
      <c r="X12" s="79">
        <f>COUNTIF($G:$G,W12)</f>
        <v>0</v>
      </c>
    </row>
    <row r="13" spans="1:27" ht="16.5" hidden="1">
      <c r="A13" s="80">
        <v>5</v>
      </c>
      <c r="B13" s="80"/>
      <c r="C13" s="80"/>
      <c r="D13" s="80" t="s">
        <v>1299</v>
      </c>
      <c r="E13" s="79"/>
      <c r="F13" s="76">
        <v>11</v>
      </c>
      <c r="G13" s="76" t="s">
        <v>1245</v>
      </c>
      <c r="H13" s="76" t="s">
        <v>1246</v>
      </c>
      <c r="I13" s="443" t="s">
        <v>6</v>
      </c>
      <c r="J13" s="76" t="s">
        <v>7</v>
      </c>
      <c r="K13" s="439" t="s">
        <v>1300</v>
      </c>
      <c r="L13" s="433" t="s">
        <v>1249</v>
      </c>
      <c r="M13" s="433"/>
      <c r="N13" s="433"/>
      <c r="O13" s="433"/>
      <c r="P13" s="439" t="s">
        <v>1286</v>
      </c>
      <c r="Q13" s="433"/>
      <c r="R13" s="433"/>
      <c r="T13" s="82" t="s">
        <v>1301</v>
      </c>
      <c r="U13" s="83" t="s">
        <v>1302</v>
      </c>
      <c r="V13" s="474"/>
      <c r="W13" s="76" t="s">
        <v>1303</v>
      </c>
      <c r="X13" s="79">
        <f>COUNTIF($G:$G,W13)</f>
        <v>2</v>
      </c>
    </row>
    <row r="14" spans="1:27" ht="16.5" hidden="1">
      <c r="A14" s="80">
        <v>7</v>
      </c>
      <c r="B14" s="80"/>
      <c r="C14" s="80"/>
      <c r="D14" s="80" t="s">
        <v>1304</v>
      </c>
      <c r="E14" s="79"/>
      <c r="F14" s="76">
        <v>12</v>
      </c>
      <c r="G14" s="76" t="s">
        <v>1245</v>
      </c>
      <c r="H14" s="76" t="s">
        <v>1246</v>
      </c>
      <c r="I14" s="443" t="s">
        <v>8</v>
      </c>
      <c r="J14" s="76" t="s">
        <v>1305</v>
      </c>
      <c r="K14" s="439" t="s">
        <v>1306</v>
      </c>
      <c r="L14" s="433" t="s">
        <v>1307</v>
      </c>
      <c r="M14" s="433" t="s">
        <v>1308</v>
      </c>
      <c r="N14" s="433" t="s">
        <v>1309</v>
      </c>
      <c r="O14" s="433"/>
      <c r="P14" s="439"/>
      <c r="Q14" s="433" t="s">
        <v>1279</v>
      </c>
      <c r="R14" s="433" t="s">
        <v>1310</v>
      </c>
      <c r="T14" s="84" t="s">
        <v>1311</v>
      </c>
      <c r="U14" s="83" t="s">
        <v>1312</v>
      </c>
      <c r="V14" s="474"/>
      <c r="W14" s="76" t="s">
        <v>1313</v>
      </c>
      <c r="X14" s="79">
        <f>COUNTIF($G:$G,W14)</f>
        <v>1</v>
      </c>
    </row>
    <row r="15" spans="1:27" ht="16.5">
      <c r="A15" s="80">
        <v>8</v>
      </c>
      <c r="B15" s="80"/>
      <c r="C15" s="80"/>
      <c r="D15" s="80" t="s">
        <v>1314</v>
      </c>
      <c r="E15" s="79"/>
      <c r="F15" s="76">
        <v>13</v>
      </c>
      <c r="G15" s="76" t="s">
        <v>1245</v>
      </c>
      <c r="H15" s="76" t="s">
        <v>1246</v>
      </c>
      <c r="I15" s="443" t="s">
        <v>1315</v>
      </c>
      <c r="J15" s="444" t="s">
        <v>90</v>
      </c>
      <c r="K15" s="439" t="s">
        <v>1316</v>
      </c>
      <c r="L15" s="433" t="s">
        <v>1249</v>
      </c>
      <c r="M15" s="433"/>
      <c r="N15" s="433"/>
      <c r="O15" s="433" t="s">
        <v>1262</v>
      </c>
      <c r="P15" s="439" t="s">
        <v>1317</v>
      </c>
      <c r="Q15" s="433"/>
      <c r="R15" s="433"/>
      <c r="T15" s="82" t="s">
        <v>1005</v>
      </c>
      <c r="U15" s="83" t="s">
        <v>1318</v>
      </c>
      <c r="V15" s="470" t="s">
        <v>1319</v>
      </c>
      <c r="W15" s="470"/>
      <c r="X15" s="79">
        <f>SUM(X7:X14)</f>
        <v>57</v>
      </c>
    </row>
    <row r="16" spans="1:27" ht="16.5" hidden="1">
      <c r="A16" s="80"/>
      <c r="B16" s="80"/>
      <c r="C16" s="80"/>
      <c r="D16" s="80"/>
      <c r="E16" s="79"/>
      <c r="F16" s="76">
        <v>14</v>
      </c>
      <c r="G16" s="76" t="s">
        <v>1250</v>
      </c>
      <c r="H16" s="76" t="s">
        <v>1320</v>
      </c>
      <c r="I16" s="445" t="s">
        <v>1321</v>
      </c>
      <c r="J16" s="444" t="s">
        <v>1322</v>
      </c>
      <c r="K16" s="439" t="s">
        <v>1323</v>
      </c>
      <c r="L16" s="433" t="s">
        <v>1324</v>
      </c>
      <c r="M16" s="433"/>
      <c r="N16" s="433"/>
      <c r="O16" s="433"/>
      <c r="P16" s="439"/>
      <c r="Q16" s="433"/>
      <c r="R16" s="433"/>
      <c r="T16" s="82"/>
      <c r="U16" s="83"/>
      <c r="V16" s="62"/>
      <c r="W16" s="62"/>
      <c r="X16" s="62"/>
    </row>
    <row r="17" spans="1:30" ht="16.5" hidden="1">
      <c r="A17" s="80">
        <v>9</v>
      </c>
      <c r="B17" s="80"/>
      <c r="C17" s="80"/>
      <c r="D17" s="80" t="s">
        <v>1325</v>
      </c>
      <c r="E17" s="79"/>
      <c r="F17" s="76">
        <v>15</v>
      </c>
      <c r="G17" s="80" t="s">
        <v>1245</v>
      </c>
      <c r="H17" s="80" t="s">
        <v>1246</v>
      </c>
      <c r="I17" s="442" t="s">
        <v>1326</v>
      </c>
      <c r="J17" s="80" t="s">
        <v>1327</v>
      </c>
      <c r="K17" s="80" t="s">
        <v>1328</v>
      </c>
      <c r="L17" s="433" t="s">
        <v>1307</v>
      </c>
      <c r="M17" s="79" t="s">
        <v>1308</v>
      </c>
      <c r="N17" s="433" t="s">
        <v>1309</v>
      </c>
      <c r="O17" s="79"/>
      <c r="P17" s="439"/>
      <c r="Q17" s="433" t="s">
        <v>1279</v>
      </c>
      <c r="R17" s="433" t="s">
        <v>1310</v>
      </c>
      <c r="T17" s="84"/>
      <c r="U17" s="224"/>
      <c r="V17" s="225"/>
    </row>
    <row r="18" spans="1:30" ht="16.5" hidden="1">
      <c r="A18" s="80">
        <v>11</v>
      </c>
      <c r="B18" s="80"/>
      <c r="C18" s="80"/>
      <c r="D18" s="80" t="s">
        <v>1329</v>
      </c>
      <c r="E18" s="79"/>
      <c r="F18" s="76">
        <v>16</v>
      </c>
      <c r="G18" s="80" t="s">
        <v>1245</v>
      </c>
      <c r="H18" s="80" t="s">
        <v>1246</v>
      </c>
      <c r="I18" s="442" t="s">
        <v>1330</v>
      </c>
      <c r="J18" s="80" t="s">
        <v>1331</v>
      </c>
      <c r="K18" s="80" t="s">
        <v>1331</v>
      </c>
      <c r="L18" s="433" t="s">
        <v>1249</v>
      </c>
      <c r="M18" s="433"/>
      <c r="N18" s="433"/>
      <c r="O18" s="79"/>
      <c r="P18" s="439" t="s">
        <v>1317</v>
      </c>
      <c r="Q18" s="79"/>
      <c r="R18" s="79"/>
      <c r="T18" s="85"/>
      <c r="U18" s="85"/>
      <c r="V18" s="225"/>
    </row>
    <row r="19" spans="1:30" ht="16.5" hidden="1">
      <c r="A19" s="80"/>
      <c r="B19" s="80"/>
      <c r="C19" s="80"/>
      <c r="D19" s="80"/>
      <c r="E19" s="79"/>
      <c r="F19" s="76">
        <v>17</v>
      </c>
      <c r="G19" s="80" t="s">
        <v>1245</v>
      </c>
      <c r="H19" s="80" t="s">
        <v>1246</v>
      </c>
      <c r="I19" s="442" t="s">
        <v>1332</v>
      </c>
      <c r="J19" s="80" t="s">
        <v>1333</v>
      </c>
      <c r="K19" s="80" t="s">
        <v>1334</v>
      </c>
      <c r="L19" s="433" t="s">
        <v>1249</v>
      </c>
      <c r="M19" s="433"/>
      <c r="N19" s="433"/>
      <c r="O19" s="79"/>
      <c r="P19" s="439"/>
      <c r="Q19" s="79"/>
      <c r="R19" s="79"/>
      <c r="T19" s="85"/>
      <c r="U19" s="85"/>
      <c r="V19" s="225"/>
    </row>
    <row r="20" spans="1:30" ht="16.5" hidden="1">
      <c r="A20" s="80">
        <v>15</v>
      </c>
      <c r="B20" s="80"/>
      <c r="C20" s="80"/>
      <c r="D20" s="80" t="s">
        <v>1335</v>
      </c>
      <c r="E20" s="79"/>
      <c r="F20" s="76">
        <v>18</v>
      </c>
      <c r="G20" s="76" t="s">
        <v>1245</v>
      </c>
      <c r="H20" s="76" t="s">
        <v>1246</v>
      </c>
      <c r="I20" s="443" t="s">
        <v>1336</v>
      </c>
      <c r="J20" s="444" t="s">
        <v>1337</v>
      </c>
      <c r="K20" s="439" t="s">
        <v>1338</v>
      </c>
      <c r="L20" s="433" t="s">
        <v>1277</v>
      </c>
      <c r="M20" s="433"/>
      <c r="N20" s="433"/>
      <c r="O20" s="433"/>
      <c r="P20" s="439" t="s">
        <v>1286</v>
      </c>
      <c r="Q20" s="433" t="s">
        <v>1339</v>
      </c>
      <c r="R20" s="433" t="s">
        <v>1280</v>
      </c>
      <c r="T20" s="86"/>
      <c r="U20" s="86"/>
      <c r="V20" s="470" t="s">
        <v>1340</v>
      </c>
      <c r="W20" s="470"/>
      <c r="X20" s="79">
        <f>COUNTIF($G:$G,V20)</f>
        <v>0</v>
      </c>
    </row>
    <row r="21" spans="1:30" ht="16.5">
      <c r="A21" s="80">
        <v>17</v>
      </c>
      <c r="B21" s="80"/>
      <c r="C21" s="80" t="s">
        <v>1341</v>
      </c>
      <c r="D21" s="80" t="s">
        <v>1342</v>
      </c>
      <c r="E21" s="79"/>
      <c r="F21" s="76">
        <v>19</v>
      </c>
      <c r="G21" s="76" t="s">
        <v>1245</v>
      </c>
      <c r="H21" s="76" t="s">
        <v>1246</v>
      </c>
      <c r="I21" s="443" t="s">
        <v>431</v>
      </c>
      <c r="J21" s="444" t="s">
        <v>1343</v>
      </c>
      <c r="K21" s="439" t="s">
        <v>1344</v>
      </c>
      <c r="L21" s="433" t="s">
        <v>1249</v>
      </c>
      <c r="M21" s="433"/>
      <c r="N21" s="433"/>
      <c r="O21" s="433" t="s">
        <v>1065</v>
      </c>
      <c r="P21" s="439" t="s">
        <v>1286</v>
      </c>
      <c r="Q21" s="433"/>
      <c r="R21" s="433"/>
      <c r="T21" s="86"/>
      <c r="U21" s="86"/>
    </row>
    <row r="22" spans="1:30" ht="16.5" hidden="1">
      <c r="A22" s="80">
        <v>17</v>
      </c>
      <c r="B22" s="80"/>
      <c r="C22" s="80" t="s">
        <v>1341</v>
      </c>
      <c r="D22" s="80" t="s">
        <v>1342</v>
      </c>
      <c r="E22" s="79"/>
      <c r="F22" s="76">
        <v>20</v>
      </c>
      <c r="G22" s="76" t="s">
        <v>1245</v>
      </c>
      <c r="H22" s="76" t="s">
        <v>1246</v>
      </c>
      <c r="I22" s="441" t="s">
        <v>1345</v>
      </c>
      <c r="J22" s="444" t="s">
        <v>1346</v>
      </c>
      <c r="K22" s="439" t="s">
        <v>1347</v>
      </c>
      <c r="L22" s="446" t="s">
        <v>1348</v>
      </c>
      <c r="M22" s="446"/>
      <c r="N22" s="446"/>
      <c r="O22" s="446"/>
      <c r="P22" s="439"/>
      <c r="Q22" s="433" t="s">
        <v>1339</v>
      </c>
      <c r="R22" s="433" t="s">
        <v>1349</v>
      </c>
      <c r="T22" s="86"/>
      <c r="U22" s="86"/>
    </row>
    <row r="23" spans="1:30" ht="16.5">
      <c r="A23" s="447">
        <v>18</v>
      </c>
      <c r="B23" s="447" t="s">
        <v>1350</v>
      </c>
      <c r="C23" s="447" t="s">
        <v>1351</v>
      </c>
      <c r="D23" s="447"/>
      <c r="E23" s="79"/>
      <c r="F23" s="76">
        <v>21</v>
      </c>
      <c r="G23" s="76" t="s">
        <v>1245</v>
      </c>
      <c r="H23" s="76" t="s">
        <v>1246</v>
      </c>
      <c r="I23" s="441" t="s">
        <v>1087</v>
      </c>
      <c r="J23" s="444" t="s">
        <v>137</v>
      </c>
      <c r="K23" s="439" t="s">
        <v>1352</v>
      </c>
      <c r="L23" s="446" t="s">
        <v>1249</v>
      </c>
      <c r="M23" s="433"/>
      <c r="N23" s="433"/>
      <c r="O23" s="433" t="s">
        <v>1065</v>
      </c>
      <c r="P23" s="439"/>
      <c r="Q23" s="433"/>
      <c r="R23" s="433"/>
      <c r="T23" s="86"/>
      <c r="U23" s="86"/>
    </row>
    <row r="24" spans="1:30" ht="16.5">
      <c r="A24" s="447">
        <v>18</v>
      </c>
      <c r="B24" s="447" t="s">
        <v>1350</v>
      </c>
      <c r="C24" s="447" t="s">
        <v>1351</v>
      </c>
      <c r="D24" s="447"/>
      <c r="E24" s="79"/>
      <c r="F24" s="76">
        <v>22</v>
      </c>
      <c r="G24" s="76" t="s">
        <v>1245</v>
      </c>
      <c r="H24" s="76" t="s">
        <v>1246</v>
      </c>
      <c r="I24" s="441" t="s">
        <v>1353</v>
      </c>
      <c r="J24" s="444" t="s">
        <v>1354</v>
      </c>
      <c r="K24" s="439" t="s">
        <v>1355</v>
      </c>
      <c r="L24" s="446" t="s">
        <v>1249</v>
      </c>
      <c r="M24" s="433"/>
      <c r="N24" s="433"/>
      <c r="O24" s="433" t="s">
        <v>1065</v>
      </c>
      <c r="P24" s="439"/>
      <c r="Q24" s="433"/>
      <c r="R24" s="433"/>
      <c r="T24" s="86"/>
      <c r="U24" s="86"/>
    </row>
    <row r="25" spans="1:30" ht="16.5" hidden="1">
      <c r="A25" s="447"/>
      <c r="B25" s="447"/>
      <c r="C25" s="447"/>
      <c r="D25" s="447"/>
      <c r="E25" s="79"/>
      <c r="F25" s="76">
        <v>23</v>
      </c>
      <c r="G25" s="76" t="s">
        <v>1245</v>
      </c>
      <c r="H25" s="76" t="s">
        <v>1246</v>
      </c>
      <c r="I25" s="441" t="s">
        <v>1356</v>
      </c>
      <c r="J25" s="444" t="s">
        <v>1357</v>
      </c>
      <c r="K25" s="439" t="s">
        <v>1358</v>
      </c>
      <c r="L25" s="446" t="s">
        <v>1249</v>
      </c>
      <c r="M25" s="433"/>
      <c r="N25" s="433"/>
      <c r="O25" s="433"/>
      <c r="P25" s="439"/>
      <c r="Q25" s="433"/>
      <c r="R25" s="433"/>
      <c r="T25" s="86"/>
      <c r="U25" s="86"/>
    </row>
    <row r="26" spans="1:30" ht="16.5" hidden="1">
      <c r="A26" s="447"/>
      <c r="B26" s="447"/>
      <c r="C26" s="447"/>
      <c r="D26" s="447"/>
      <c r="E26" s="79"/>
      <c r="F26" s="76">
        <v>24</v>
      </c>
      <c r="G26" s="76" t="s">
        <v>1250</v>
      </c>
      <c r="H26" s="76" t="s">
        <v>1320</v>
      </c>
      <c r="I26" s="448" t="s">
        <v>1359</v>
      </c>
      <c r="J26" s="444" t="s">
        <v>1360</v>
      </c>
      <c r="K26" s="439" t="s">
        <v>1361</v>
      </c>
      <c r="L26" s="446" t="s">
        <v>1324</v>
      </c>
      <c r="M26" s="433"/>
      <c r="N26" s="433"/>
      <c r="O26" s="433"/>
      <c r="P26" s="439"/>
      <c r="Q26" s="433"/>
      <c r="R26" s="433"/>
      <c r="T26" s="86"/>
      <c r="U26" s="86"/>
    </row>
    <row r="27" spans="1:30" s="231" customFormat="1" ht="16.5" hidden="1">
      <c r="A27" s="449"/>
      <c r="B27" s="449"/>
      <c r="C27" s="449"/>
      <c r="D27" s="449"/>
      <c r="E27" s="317"/>
      <c r="F27" s="76">
        <v>25</v>
      </c>
      <c r="G27" s="76" t="s">
        <v>1245</v>
      </c>
      <c r="H27" s="76" t="s">
        <v>1320</v>
      </c>
      <c r="I27" s="441" t="s">
        <v>1362</v>
      </c>
      <c r="J27" s="444" t="s">
        <v>1363</v>
      </c>
      <c r="K27" s="444" t="s">
        <v>1363</v>
      </c>
      <c r="L27" s="433" t="s">
        <v>1324</v>
      </c>
      <c r="M27" s="433"/>
      <c r="N27" s="433"/>
      <c r="O27" s="433"/>
      <c r="P27" s="439"/>
      <c r="Q27" s="446"/>
      <c r="R27" s="446"/>
      <c r="T27" s="387"/>
      <c r="U27" s="387"/>
      <c r="AC27" s="1"/>
      <c r="AD27" s="1"/>
    </row>
    <row r="28" spans="1:30" s="231" customFormat="1" ht="16.5" hidden="1">
      <c r="A28" s="449"/>
      <c r="B28" s="449"/>
      <c r="C28" s="449"/>
      <c r="D28" s="449"/>
      <c r="E28" s="317"/>
      <c r="F28" s="76">
        <v>26</v>
      </c>
      <c r="G28" s="76" t="s">
        <v>1245</v>
      </c>
      <c r="H28" s="76" t="s">
        <v>1320</v>
      </c>
      <c r="I28" s="441" t="s">
        <v>1364</v>
      </c>
      <c r="J28" s="444" t="s">
        <v>1365</v>
      </c>
      <c r="K28" s="444" t="s">
        <v>1365</v>
      </c>
      <c r="L28" s="433" t="s">
        <v>1366</v>
      </c>
      <c r="M28" s="433"/>
      <c r="N28" s="433"/>
      <c r="O28" s="433"/>
      <c r="P28" s="439"/>
      <c r="Q28" s="446"/>
      <c r="R28" s="446"/>
      <c r="T28" s="387"/>
      <c r="U28" s="387"/>
      <c r="AC28" s="1"/>
      <c r="AD28" s="1"/>
    </row>
    <row r="29" spans="1:30" ht="16.5" hidden="1">
      <c r="A29" s="447">
        <v>18</v>
      </c>
      <c r="B29" s="447" t="s">
        <v>1350</v>
      </c>
      <c r="C29" s="447" t="s">
        <v>1351</v>
      </c>
      <c r="D29" s="447"/>
      <c r="E29" s="79"/>
      <c r="F29" s="76">
        <v>27</v>
      </c>
      <c r="G29" s="76" t="s">
        <v>1245</v>
      </c>
      <c r="H29" s="76" t="s">
        <v>1320</v>
      </c>
      <c r="I29" s="441" t="s">
        <v>120</v>
      </c>
      <c r="J29" s="444" t="s">
        <v>1367</v>
      </c>
      <c r="K29" s="439" t="s">
        <v>1368</v>
      </c>
      <c r="L29" s="446" t="s">
        <v>1249</v>
      </c>
      <c r="M29" s="433"/>
      <c r="N29" s="433"/>
      <c r="O29" s="433"/>
      <c r="P29" s="439"/>
      <c r="Q29" s="433"/>
      <c r="R29" s="433"/>
      <c r="T29" s="86"/>
      <c r="U29" s="86"/>
    </row>
    <row r="30" spans="1:30" ht="16.5" hidden="1">
      <c r="A30" s="447"/>
      <c r="B30" s="447"/>
      <c r="C30" s="447"/>
      <c r="D30" s="447"/>
      <c r="E30" s="79"/>
      <c r="F30" s="76">
        <v>28</v>
      </c>
      <c r="G30" s="76" t="s">
        <v>1245</v>
      </c>
      <c r="H30" s="76" t="s">
        <v>1320</v>
      </c>
      <c r="I30" s="441" t="s">
        <v>1369</v>
      </c>
      <c r="J30" s="444" t="s">
        <v>1370</v>
      </c>
      <c r="K30" s="439" t="s">
        <v>1371</v>
      </c>
      <c r="L30" s="446" t="s">
        <v>1366</v>
      </c>
      <c r="M30" s="433"/>
      <c r="N30" s="433"/>
      <c r="O30" s="433"/>
      <c r="P30" s="439"/>
      <c r="Q30" s="433"/>
      <c r="R30" s="433"/>
      <c r="T30" s="86"/>
      <c r="U30" s="86"/>
    </row>
    <row r="31" spans="1:30" ht="16.5" hidden="1">
      <c r="A31" s="447">
        <v>18</v>
      </c>
      <c r="B31" s="447" t="s">
        <v>1350</v>
      </c>
      <c r="C31" s="447" t="s">
        <v>1351</v>
      </c>
      <c r="D31" s="447"/>
      <c r="E31" s="79"/>
      <c r="F31" s="76">
        <v>29</v>
      </c>
      <c r="G31" s="76" t="s">
        <v>1372</v>
      </c>
      <c r="H31" s="76" t="s">
        <v>1373</v>
      </c>
      <c r="I31" s="443" t="s">
        <v>254</v>
      </c>
      <c r="J31" s="450" t="s">
        <v>1374</v>
      </c>
      <c r="K31" s="451" t="s">
        <v>1375</v>
      </c>
      <c r="L31" s="446" t="s">
        <v>1277</v>
      </c>
      <c r="M31" s="446"/>
      <c r="N31" s="446"/>
      <c r="O31" s="446"/>
      <c r="P31" s="439"/>
      <c r="Q31" s="433" t="s">
        <v>1339</v>
      </c>
      <c r="R31" s="433" t="s">
        <v>1280</v>
      </c>
      <c r="T31" s="86"/>
      <c r="U31" s="86"/>
    </row>
    <row r="32" spans="1:30" ht="16.5" hidden="1">
      <c r="A32" s="447">
        <v>19</v>
      </c>
      <c r="B32" s="447"/>
      <c r="C32" s="447" t="s">
        <v>1376</v>
      </c>
      <c r="D32" s="447"/>
      <c r="E32" s="79"/>
      <c r="F32" s="76">
        <v>30</v>
      </c>
      <c r="G32" s="76" t="s">
        <v>1269</v>
      </c>
      <c r="H32" s="76" t="s">
        <v>1377</v>
      </c>
      <c r="I32" s="440" t="s">
        <v>1378</v>
      </c>
      <c r="J32" s="80" t="s">
        <v>1379</v>
      </c>
      <c r="K32" s="80" t="s">
        <v>1380</v>
      </c>
      <c r="L32" s="79" t="s">
        <v>1381</v>
      </c>
      <c r="M32" s="79"/>
      <c r="N32" s="79"/>
      <c r="O32" s="79"/>
      <c r="P32" s="76"/>
      <c r="Q32" s="79"/>
      <c r="R32" s="79"/>
      <c r="T32" s="86"/>
      <c r="U32" s="86"/>
    </row>
    <row r="33" spans="1:23" ht="16.5">
      <c r="A33" s="80"/>
      <c r="B33" s="80"/>
      <c r="C33" s="80"/>
      <c r="D33" s="80"/>
      <c r="E33" s="79"/>
      <c r="F33" s="76">
        <v>31</v>
      </c>
      <c r="G33" s="76" t="s">
        <v>1269</v>
      </c>
      <c r="H33" s="76" t="s">
        <v>1377</v>
      </c>
      <c r="I33" s="443" t="s">
        <v>1382</v>
      </c>
      <c r="J33" s="450" t="s">
        <v>724</v>
      </c>
      <c r="K33" s="451" t="s">
        <v>1383</v>
      </c>
      <c r="L33" s="446" t="s">
        <v>1249</v>
      </c>
      <c r="M33" s="446"/>
      <c r="N33" s="446"/>
      <c r="O33" s="446" t="s">
        <v>1262</v>
      </c>
      <c r="P33" s="439"/>
      <c r="Q33" s="433"/>
      <c r="R33" s="433"/>
      <c r="W33" s="65"/>
    </row>
    <row r="34" spans="1:23" ht="16.5" hidden="1">
      <c r="A34" s="80">
        <v>21</v>
      </c>
      <c r="B34" s="80"/>
      <c r="C34" s="80" t="s">
        <v>1384</v>
      </c>
      <c r="D34" s="80"/>
      <c r="E34" s="79"/>
      <c r="F34" s="76">
        <v>32</v>
      </c>
      <c r="G34" s="76" t="s">
        <v>1269</v>
      </c>
      <c r="H34" s="76" t="s">
        <v>1377</v>
      </c>
      <c r="I34" s="440" t="s">
        <v>1385</v>
      </c>
      <c r="J34" s="80" t="s">
        <v>1386</v>
      </c>
      <c r="K34" s="80" t="s">
        <v>1387</v>
      </c>
      <c r="L34" s="79" t="s">
        <v>1348</v>
      </c>
      <c r="M34" s="79"/>
      <c r="N34" s="79"/>
      <c r="O34" s="79"/>
      <c r="P34" s="76"/>
      <c r="Q34" s="79"/>
      <c r="R34" s="79"/>
    </row>
    <row r="35" spans="1:23" ht="16.5" hidden="1">
      <c r="A35" s="80"/>
      <c r="B35" s="80"/>
      <c r="C35" s="80"/>
      <c r="D35" s="80"/>
      <c r="E35" s="79"/>
      <c r="F35" s="76">
        <v>33</v>
      </c>
      <c r="G35" s="76" t="s">
        <v>1269</v>
      </c>
      <c r="H35" s="76" t="s">
        <v>1377</v>
      </c>
      <c r="I35" s="438" t="s">
        <v>1388</v>
      </c>
      <c r="J35" s="80" t="s">
        <v>1389</v>
      </c>
      <c r="K35" s="80" t="s">
        <v>1389</v>
      </c>
      <c r="L35" s="79" t="s">
        <v>1324</v>
      </c>
      <c r="M35" s="79"/>
      <c r="N35" s="79"/>
      <c r="O35" s="79"/>
      <c r="P35" s="76"/>
      <c r="Q35" s="79"/>
      <c r="R35" s="79"/>
    </row>
    <row r="36" spans="1:23" ht="16.5" hidden="1">
      <c r="A36" s="80">
        <v>22</v>
      </c>
      <c r="B36" s="80"/>
      <c r="C36" s="80" t="s">
        <v>1390</v>
      </c>
      <c r="D36" s="80"/>
      <c r="E36" s="79"/>
      <c r="F36" s="76">
        <v>34</v>
      </c>
      <c r="G36" s="76" t="s">
        <v>1269</v>
      </c>
      <c r="H36" s="76" t="s">
        <v>1377</v>
      </c>
      <c r="I36" s="440" t="s">
        <v>1391</v>
      </c>
      <c r="J36" s="80" t="s">
        <v>1392</v>
      </c>
      <c r="K36" s="80" t="s">
        <v>1393</v>
      </c>
      <c r="L36" s="79" t="s">
        <v>1366</v>
      </c>
      <c r="M36" s="79"/>
      <c r="N36" s="79"/>
      <c r="O36" s="79"/>
      <c r="P36" s="76"/>
      <c r="Q36" s="79"/>
      <c r="R36" s="79"/>
    </row>
    <row r="37" spans="1:23" ht="16.5" hidden="1">
      <c r="A37" s="80"/>
      <c r="B37" s="80"/>
      <c r="C37" s="80"/>
      <c r="D37" s="80"/>
      <c r="E37" s="79"/>
      <c r="F37" s="76">
        <v>35</v>
      </c>
      <c r="G37" s="76" t="s">
        <v>1269</v>
      </c>
      <c r="H37" s="76" t="s">
        <v>1377</v>
      </c>
      <c r="I37" s="440" t="s">
        <v>1394</v>
      </c>
      <c r="J37" s="80" t="s">
        <v>1395</v>
      </c>
      <c r="K37" s="80" t="s">
        <v>1396</v>
      </c>
      <c r="L37" s="79" t="s">
        <v>1324</v>
      </c>
      <c r="M37" s="79"/>
      <c r="N37" s="79"/>
      <c r="O37" s="79"/>
      <c r="P37" s="76"/>
      <c r="Q37" s="79"/>
      <c r="R37" s="79"/>
    </row>
    <row r="38" spans="1:23" ht="16.5" hidden="1">
      <c r="A38" s="80">
        <v>24</v>
      </c>
      <c r="B38" s="80"/>
      <c r="C38" s="80" t="s">
        <v>1397</v>
      </c>
      <c r="D38" s="80"/>
      <c r="E38" s="79"/>
      <c r="F38" s="76">
        <v>36</v>
      </c>
      <c r="G38" s="76" t="s">
        <v>1272</v>
      </c>
      <c r="H38" s="76" t="s">
        <v>1398</v>
      </c>
      <c r="I38" s="441" t="s">
        <v>1399</v>
      </c>
      <c r="J38" s="450" t="s">
        <v>1400</v>
      </c>
      <c r="K38" s="451" t="s">
        <v>1401</v>
      </c>
      <c r="L38" s="446" t="s">
        <v>1402</v>
      </c>
      <c r="M38" s="446"/>
      <c r="N38" s="446"/>
      <c r="O38" s="433"/>
      <c r="P38" s="80"/>
      <c r="Q38" s="446" t="s">
        <v>1403</v>
      </c>
      <c r="R38" s="433" t="s">
        <v>1349</v>
      </c>
    </row>
    <row r="39" spans="1:23" ht="16.5">
      <c r="A39" s="80">
        <v>25</v>
      </c>
      <c r="B39" s="80"/>
      <c r="C39" s="80" t="s">
        <v>1404</v>
      </c>
      <c r="D39" s="80"/>
      <c r="E39" s="79"/>
      <c r="F39" s="76">
        <v>37</v>
      </c>
      <c r="G39" s="76" t="s">
        <v>1272</v>
      </c>
      <c r="H39" s="76" t="s">
        <v>1398</v>
      </c>
      <c r="I39" s="443" t="s">
        <v>1405</v>
      </c>
      <c r="J39" s="450" t="s">
        <v>1406</v>
      </c>
      <c r="K39" s="451" t="s">
        <v>1407</v>
      </c>
      <c r="L39" s="446" t="s">
        <v>1249</v>
      </c>
      <c r="M39" s="446"/>
      <c r="N39" s="446"/>
      <c r="O39" s="433" t="s">
        <v>1065</v>
      </c>
      <c r="P39" s="451"/>
      <c r="Q39" s="446"/>
      <c r="R39" s="446"/>
    </row>
    <row r="40" spans="1:23" ht="16.5" hidden="1">
      <c r="A40" s="80"/>
      <c r="B40" s="80"/>
      <c r="C40" s="80"/>
      <c r="D40" s="80"/>
      <c r="E40" s="79"/>
      <c r="F40" s="76">
        <v>38</v>
      </c>
      <c r="G40" s="76" t="s">
        <v>1272</v>
      </c>
      <c r="H40" s="76" t="s">
        <v>1398</v>
      </c>
      <c r="I40" s="441" t="s">
        <v>1408</v>
      </c>
      <c r="J40" s="450" t="s">
        <v>1409</v>
      </c>
      <c r="K40" s="451" t="s">
        <v>1410</v>
      </c>
      <c r="L40" s="446" t="s">
        <v>1402</v>
      </c>
      <c r="M40" s="446" t="s">
        <v>1411</v>
      </c>
      <c r="N40" s="446"/>
      <c r="O40" s="433"/>
      <c r="P40" s="439"/>
      <c r="Q40" s="433"/>
      <c r="R40" s="433"/>
    </row>
    <row r="41" spans="1:23" ht="16.5">
      <c r="A41" s="80"/>
      <c r="B41" s="80"/>
      <c r="C41" s="80"/>
      <c r="D41" s="80"/>
      <c r="E41" s="79"/>
      <c r="F41" s="76">
        <v>39</v>
      </c>
      <c r="G41" s="76" t="s">
        <v>1272</v>
      </c>
      <c r="H41" s="76" t="s">
        <v>1398</v>
      </c>
      <c r="I41" s="441" t="s">
        <v>1412</v>
      </c>
      <c r="J41" s="450" t="s">
        <v>1413</v>
      </c>
      <c r="K41" s="444" t="s">
        <v>1414</v>
      </c>
      <c r="L41" s="446" t="s">
        <v>1249</v>
      </c>
      <c r="M41" s="446"/>
      <c r="N41" s="446"/>
      <c r="O41" s="433" t="s">
        <v>1262</v>
      </c>
      <c r="P41" s="439"/>
      <c r="Q41" s="433"/>
      <c r="R41" s="433"/>
    </row>
    <row r="42" spans="1:23" ht="16.5" hidden="1">
      <c r="A42" s="80">
        <v>28</v>
      </c>
      <c r="B42" s="80"/>
      <c r="C42" s="80" t="s">
        <v>1415</v>
      </c>
      <c r="D42" s="80"/>
      <c r="E42" s="79"/>
      <c r="F42" s="76">
        <v>40</v>
      </c>
      <c r="G42" s="76" t="s">
        <v>1272</v>
      </c>
      <c r="H42" s="76" t="s">
        <v>1398</v>
      </c>
      <c r="I42" s="443" t="s">
        <v>1416</v>
      </c>
      <c r="J42" s="450" t="s">
        <v>1417</v>
      </c>
      <c r="K42" s="451" t="s">
        <v>1418</v>
      </c>
      <c r="L42" s="446" t="s">
        <v>1277</v>
      </c>
      <c r="M42" s="446"/>
      <c r="N42" s="446"/>
      <c r="O42" s="446"/>
      <c r="P42" s="451"/>
      <c r="Q42" s="446" t="s">
        <v>1403</v>
      </c>
      <c r="R42" s="433" t="s">
        <v>1280</v>
      </c>
    </row>
    <row r="43" spans="1:23" ht="16.5">
      <c r="A43" s="80">
        <v>29</v>
      </c>
      <c r="B43" s="80" t="s">
        <v>1419</v>
      </c>
      <c r="C43" s="80" t="s">
        <v>1420</v>
      </c>
      <c r="D43" s="80"/>
      <c r="E43" s="79"/>
      <c r="F43" s="76">
        <v>41</v>
      </c>
      <c r="G43" s="76" t="s">
        <v>1272</v>
      </c>
      <c r="H43" s="76" t="s">
        <v>1398</v>
      </c>
      <c r="I43" s="443" t="s">
        <v>1421</v>
      </c>
      <c r="J43" s="450" t="s">
        <v>1422</v>
      </c>
      <c r="K43" s="451" t="s">
        <v>1423</v>
      </c>
      <c r="L43" s="446" t="s">
        <v>1249</v>
      </c>
      <c r="M43" s="446"/>
      <c r="N43" s="446"/>
      <c r="O43" s="433" t="s">
        <v>1262</v>
      </c>
      <c r="P43" s="451"/>
      <c r="Q43" s="446"/>
      <c r="R43" s="446"/>
    </row>
    <row r="44" spans="1:23" ht="16.5">
      <c r="A44" s="80"/>
      <c r="B44" s="80"/>
      <c r="C44" s="80"/>
      <c r="D44" s="80"/>
      <c r="E44" s="80"/>
      <c r="F44" s="76">
        <v>42</v>
      </c>
      <c r="G44" s="76" t="s">
        <v>1272</v>
      </c>
      <c r="H44" s="76" t="s">
        <v>1398</v>
      </c>
      <c r="I44" s="443" t="s">
        <v>1424</v>
      </c>
      <c r="J44" s="450" t="s">
        <v>1425</v>
      </c>
      <c r="K44" s="452" t="s">
        <v>1426</v>
      </c>
      <c r="L44" s="433" t="s">
        <v>1249</v>
      </c>
      <c r="M44" s="433"/>
      <c r="N44" s="433"/>
      <c r="O44" s="433" t="s">
        <v>1262</v>
      </c>
      <c r="P44" s="451"/>
      <c r="Q44" s="446"/>
      <c r="R44" s="446"/>
    </row>
    <row r="45" spans="1:23" ht="16.5" hidden="1">
      <c r="A45" s="80"/>
      <c r="B45" s="80"/>
      <c r="C45" s="80"/>
      <c r="D45" s="80"/>
      <c r="E45" s="80"/>
      <c r="F45" s="76">
        <v>43</v>
      </c>
      <c r="G45" s="76" t="s">
        <v>1303</v>
      </c>
      <c r="H45" s="76" t="s">
        <v>1427</v>
      </c>
      <c r="I45" s="443" t="s">
        <v>1428</v>
      </c>
      <c r="J45" s="76" t="s">
        <v>1429</v>
      </c>
      <c r="K45" s="76" t="s">
        <v>1430</v>
      </c>
      <c r="L45" s="433" t="s">
        <v>1277</v>
      </c>
      <c r="M45" s="433"/>
      <c r="N45" s="433"/>
      <c r="O45" s="433"/>
      <c r="P45" s="439" t="s">
        <v>1286</v>
      </c>
      <c r="Q45" s="433" t="s">
        <v>1280</v>
      </c>
      <c r="R45" s="433" t="s">
        <v>1280</v>
      </c>
    </row>
    <row r="46" spans="1:23" ht="16.5">
      <c r="A46" s="80"/>
      <c r="B46" s="80"/>
      <c r="C46" s="80"/>
      <c r="D46" s="80"/>
      <c r="E46" s="80"/>
      <c r="F46" s="76">
        <v>44</v>
      </c>
      <c r="G46" s="76" t="s">
        <v>1303</v>
      </c>
      <c r="H46" s="76" t="s">
        <v>1427</v>
      </c>
      <c r="I46" s="443" t="s">
        <v>1153</v>
      </c>
      <c r="J46" s="76" t="s">
        <v>1431</v>
      </c>
      <c r="K46" s="76" t="s">
        <v>1432</v>
      </c>
      <c r="L46" s="79" t="s">
        <v>1249</v>
      </c>
      <c r="M46" s="79"/>
      <c r="N46" s="79"/>
      <c r="O46" s="433" t="s">
        <v>1065</v>
      </c>
      <c r="P46" s="439" t="s">
        <v>1286</v>
      </c>
      <c r="Q46" s="79"/>
      <c r="R46" s="79"/>
    </row>
    <row r="47" spans="1:23" ht="16.5">
      <c r="A47" s="80"/>
      <c r="B47" s="80"/>
      <c r="C47" s="80"/>
      <c r="D47" s="80"/>
      <c r="E47" s="80"/>
      <c r="F47" s="76">
        <v>45</v>
      </c>
      <c r="G47" s="453" t="s">
        <v>1433</v>
      </c>
      <c r="H47" s="453" t="s">
        <v>1427</v>
      </c>
      <c r="I47" s="454" t="s">
        <v>1434</v>
      </c>
      <c r="J47" s="453" t="s">
        <v>1435</v>
      </c>
      <c r="K47" s="453" t="s">
        <v>1436</v>
      </c>
      <c r="L47" s="455" t="s">
        <v>1381</v>
      </c>
      <c r="M47" s="455"/>
      <c r="N47" s="455"/>
      <c r="O47" s="433" t="s">
        <v>1065</v>
      </c>
      <c r="P47" s="456"/>
      <c r="Q47" s="79"/>
      <c r="R47" s="79"/>
    </row>
    <row r="48" spans="1:23" ht="16.5" hidden="1">
      <c r="A48" s="80"/>
      <c r="B48" s="80"/>
      <c r="C48" s="80"/>
      <c r="D48" s="80"/>
      <c r="E48" s="80"/>
      <c r="F48" s="76">
        <v>46</v>
      </c>
      <c r="G48" s="453" t="s">
        <v>1433</v>
      </c>
      <c r="H48" s="453" t="s">
        <v>1427</v>
      </c>
      <c r="I48" s="454" t="s">
        <v>1437</v>
      </c>
      <c r="J48" s="453" t="s">
        <v>1438</v>
      </c>
      <c r="K48" s="453" t="s">
        <v>1439</v>
      </c>
      <c r="L48" s="455" t="s">
        <v>1381</v>
      </c>
      <c r="M48" s="455"/>
      <c r="N48" s="455"/>
      <c r="O48" s="455"/>
      <c r="P48" s="456"/>
      <c r="Q48" s="79"/>
      <c r="R48" s="79"/>
    </row>
    <row r="49" spans="1:21" ht="16.5" hidden="1">
      <c r="A49" s="80"/>
      <c r="B49" s="80"/>
      <c r="C49" s="80"/>
      <c r="D49" s="80"/>
      <c r="E49" s="80"/>
      <c r="F49" s="76">
        <v>47</v>
      </c>
      <c r="G49" s="76" t="s">
        <v>1440</v>
      </c>
      <c r="H49" s="76" t="s">
        <v>1427</v>
      </c>
      <c r="I49" s="443" t="s">
        <v>1441</v>
      </c>
      <c r="J49" s="76" t="s">
        <v>1442</v>
      </c>
      <c r="K49" s="76" t="s">
        <v>1443</v>
      </c>
      <c r="L49" s="79" t="s">
        <v>1277</v>
      </c>
      <c r="M49" s="79"/>
      <c r="N49" s="79"/>
      <c r="O49" s="79"/>
      <c r="P49" s="439" t="s">
        <v>1286</v>
      </c>
      <c r="Q49" s="433" t="s">
        <v>1279</v>
      </c>
      <c r="R49" s="433" t="s">
        <v>1280</v>
      </c>
    </row>
    <row r="50" spans="1:21" ht="16.5">
      <c r="A50" s="80"/>
      <c r="B50" s="80"/>
      <c r="C50" s="80"/>
      <c r="D50" s="80"/>
      <c r="E50" s="80"/>
      <c r="F50" s="76">
        <v>48</v>
      </c>
      <c r="G50" s="76" t="s">
        <v>1440</v>
      </c>
      <c r="H50" s="76" t="s">
        <v>1427</v>
      </c>
      <c r="I50" s="443" t="s">
        <v>1444</v>
      </c>
      <c r="J50" s="76" t="s">
        <v>1445</v>
      </c>
      <c r="K50" s="76" t="s">
        <v>1445</v>
      </c>
      <c r="L50" s="79" t="s">
        <v>1249</v>
      </c>
      <c r="M50" s="79"/>
      <c r="N50" s="79"/>
      <c r="O50" s="433" t="s">
        <v>1065</v>
      </c>
      <c r="P50" s="439" t="s">
        <v>1286</v>
      </c>
      <c r="Q50" s="79"/>
      <c r="R50" s="79"/>
    </row>
    <row r="51" spans="1:21" ht="16.5" hidden="1">
      <c r="A51" s="80"/>
      <c r="B51" s="80"/>
      <c r="C51" s="80"/>
      <c r="D51" s="80"/>
      <c r="E51" s="80"/>
      <c r="F51" s="76">
        <v>49</v>
      </c>
      <c r="G51" s="76" t="s">
        <v>1446</v>
      </c>
      <c r="H51" s="76" t="s">
        <v>1447</v>
      </c>
      <c r="I51" s="443" t="s">
        <v>1448</v>
      </c>
      <c r="J51" s="76" t="s">
        <v>1449</v>
      </c>
      <c r="K51" s="76" t="s">
        <v>1449</v>
      </c>
      <c r="L51" s="79" t="s">
        <v>1324</v>
      </c>
      <c r="M51" s="79"/>
      <c r="N51" s="79"/>
      <c r="O51" s="79"/>
      <c r="P51" s="439"/>
      <c r="Q51" s="79"/>
      <c r="R51" s="79"/>
    </row>
    <row r="52" spans="1:21" ht="16.5">
      <c r="A52" s="80"/>
      <c r="B52" s="80"/>
      <c r="C52" s="80"/>
      <c r="D52" s="80"/>
      <c r="E52" s="80"/>
      <c r="F52" s="76">
        <v>50</v>
      </c>
      <c r="G52" s="76" t="s">
        <v>1313</v>
      </c>
      <c r="H52" s="76" t="s">
        <v>1427</v>
      </c>
      <c r="I52" s="443" t="s">
        <v>1382</v>
      </c>
      <c r="J52" s="76" t="s">
        <v>1450</v>
      </c>
      <c r="K52" s="76" t="s">
        <v>1451</v>
      </c>
      <c r="L52" s="79" t="s">
        <v>1249</v>
      </c>
      <c r="M52" s="79"/>
      <c r="N52" s="79"/>
      <c r="O52" s="433" t="s">
        <v>1262</v>
      </c>
      <c r="P52" s="76"/>
      <c r="Q52" s="79"/>
      <c r="R52" s="79"/>
    </row>
    <row r="53" spans="1:21" ht="16.5" hidden="1">
      <c r="A53" s="80"/>
      <c r="B53" s="80"/>
      <c r="C53" s="80"/>
      <c r="D53" s="80"/>
      <c r="E53" s="80"/>
      <c r="F53" s="76">
        <v>51</v>
      </c>
      <c r="G53" s="457" t="s">
        <v>1452</v>
      </c>
      <c r="H53" s="457" t="s">
        <v>1453</v>
      </c>
      <c r="I53" s="458" t="s">
        <v>1454</v>
      </c>
      <c r="J53" s="457" t="s">
        <v>1455</v>
      </c>
      <c r="K53" s="457" t="s">
        <v>1456</v>
      </c>
      <c r="L53" s="238" t="s">
        <v>1348</v>
      </c>
      <c r="M53" s="238" t="s">
        <v>1072</v>
      </c>
      <c r="N53" s="238"/>
      <c r="O53" s="238"/>
      <c r="P53" s="457" t="s">
        <v>1457</v>
      </c>
      <c r="Q53" s="238" t="s">
        <v>1280</v>
      </c>
      <c r="R53" s="79"/>
    </row>
    <row r="54" spans="1:21" ht="16.5" hidden="1">
      <c r="A54" s="80"/>
      <c r="B54" s="80"/>
      <c r="C54" s="80"/>
      <c r="D54" s="80"/>
      <c r="E54" s="80"/>
      <c r="F54" s="76">
        <v>52</v>
      </c>
      <c r="G54" s="457" t="s">
        <v>1452</v>
      </c>
      <c r="H54" s="457" t="s">
        <v>1458</v>
      </c>
      <c r="I54" s="459" t="s">
        <v>1459</v>
      </c>
      <c r="J54" s="457" t="s">
        <v>1460</v>
      </c>
      <c r="K54" s="457" t="s">
        <v>1461</v>
      </c>
      <c r="L54" s="238" t="s">
        <v>1249</v>
      </c>
      <c r="M54" s="238"/>
      <c r="N54" s="238"/>
      <c r="O54" s="238"/>
      <c r="P54" s="457" t="s">
        <v>1462</v>
      </c>
      <c r="Q54" s="460"/>
      <c r="R54" s="461"/>
    </row>
    <row r="55" spans="1:21" ht="16.5" hidden="1">
      <c r="A55" s="80"/>
      <c r="B55" s="80"/>
      <c r="C55" s="80"/>
      <c r="D55" s="80"/>
      <c r="E55" s="80"/>
      <c r="F55" s="76">
        <v>53</v>
      </c>
      <c r="G55" s="457" t="s">
        <v>1452</v>
      </c>
      <c r="H55" s="457" t="s">
        <v>1458</v>
      </c>
      <c r="I55" s="459" t="s">
        <v>1463</v>
      </c>
      <c r="J55" s="457" t="s">
        <v>1464</v>
      </c>
      <c r="K55" s="457" t="s">
        <v>1465</v>
      </c>
      <c r="L55" s="238" t="s">
        <v>1249</v>
      </c>
      <c r="M55" s="238"/>
      <c r="N55" s="238"/>
      <c r="O55" s="238"/>
      <c r="P55" s="457" t="s">
        <v>1466</v>
      </c>
      <c r="Q55" s="460"/>
      <c r="R55" s="461"/>
    </row>
    <row r="56" spans="1:21" ht="16.5">
      <c r="A56" s="80"/>
      <c r="B56" s="80"/>
      <c r="C56" s="80"/>
      <c r="D56" s="80"/>
      <c r="E56" s="80"/>
      <c r="F56" s="76">
        <v>54</v>
      </c>
      <c r="G56" s="457" t="s">
        <v>1452</v>
      </c>
      <c r="H56" s="457" t="s">
        <v>1453</v>
      </c>
      <c r="I56" s="441" t="s">
        <v>723</v>
      </c>
      <c r="J56" s="457" t="s">
        <v>1467</v>
      </c>
      <c r="K56" s="457" t="s">
        <v>1468</v>
      </c>
      <c r="L56" s="238" t="s">
        <v>1324</v>
      </c>
      <c r="M56" s="238" t="s">
        <v>1072</v>
      </c>
      <c r="N56" s="238"/>
      <c r="O56" s="433" t="s">
        <v>1262</v>
      </c>
      <c r="P56" s="457" t="s">
        <v>1072</v>
      </c>
      <c r="Q56" s="238" t="s">
        <v>1280</v>
      </c>
      <c r="R56" s="79"/>
    </row>
    <row r="57" spans="1:21" ht="16.5">
      <c r="A57" s="80"/>
      <c r="B57" s="80"/>
      <c r="C57" s="80"/>
      <c r="D57" s="80"/>
      <c r="E57" s="80"/>
      <c r="F57" s="76">
        <v>55</v>
      </c>
      <c r="G57" s="457" t="s">
        <v>1283</v>
      </c>
      <c r="H57" s="457" t="s">
        <v>1453</v>
      </c>
      <c r="I57" s="441" t="s">
        <v>1469</v>
      </c>
      <c r="J57" s="457" t="s">
        <v>1470</v>
      </c>
      <c r="K57" s="457" t="s">
        <v>1471</v>
      </c>
      <c r="L57" s="238" t="s">
        <v>1324</v>
      </c>
      <c r="M57" s="238"/>
      <c r="N57" s="238"/>
      <c r="O57" s="433" t="s">
        <v>1262</v>
      </c>
      <c r="P57" s="457"/>
      <c r="Q57" s="238" t="s">
        <v>1280</v>
      </c>
      <c r="R57" s="79"/>
    </row>
    <row r="58" spans="1:21" ht="16.5" hidden="1">
      <c r="A58" s="462">
        <v>20</v>
      </c>
      <c r="B58" s="462"/>
      <c r="C58" s="462" t="s">
        <v>1472</v>
      </c>
      <c r="D58" s="462"/>
      <c r="E58" s="463"/>
      <c r="F58" s="76">
        <v>56</v>
      </c>
      <c r="G58" s="76" t="s">
        <v>1208</v>
      </c>
      <c r="H58" s="76" t="s">
        <v>1210</v>
      </c>
      <c r="I58" s="442" t="s">
        <v>1473</v>
      </c>
      <c r="J58" s="80" t="s">
        <v>1474</v>
      </c>
      <c r="K58" s="80" t="s">
        <v>1475</v>
      </c>
      <c r="L58" s="79" t="s">
        <v>1208</v>
      </c>
      <c r="M58" s="79"/>
      <c r="N58" s="79"/>
      <c r="O58" s="79"/>
      <c r="P58" s="76" t="s">
        <v>1476</v>
      </c>
      <c r="Q58" s="79"/>
      <c r="R58" s="79"/>
      <c r="T58" s="86"/>
      <c r="U58" s="86"/>
    </row>
    <row r="59" spans="1:21" ht="16.5" hidden="1">
      <c r="A59" s="462"/>
      <c r="B59" s="462"/>
      <c r="C59" s="462"/>
      <c r="D59" s="462"/>
      <c r="E59" s="462"/>
      <c r="F59" s="76">
        <v>57</v>
      </c>
      <c r="G59" s="457" t="s">
        <v>1477</v>
      </c>
      <c r="H59" s="457" t="s">
        <v>1210</v>
      </c>
      <c r="I59" s="443" t="s">
        <v>1382</v>
      </c>
      <c r="J59" s="457" t="s">
        <v>1478</v>
      </c>
      <c r="K59" s="457" t="s">
        <v>1479</v>
      </c>
      <c r="L59" s="238" t="s">
        <v>1324</v>
      </c>
      <c r="M59" s="238"/>
      <c r="N59" s="238"/>
      <c r="O59" s="238"/>
      <c r="P59" s="76" t="s">
        <v>1476</v>
      </c>
      <c r="Q59" s="238"/>
      <c r="R59" s="79"/>
    </row>
    <row r="60" spans="1:21" ht="16.5" hidden="1">
      <c r="A60" s="462"/>
      <c r="B60" s="462"/>
      <c r="C60" s="462"/>
      <c r="D60" s="462"/>
      <c r="E60" s="462"/>
      <c r="F60" s="76">
        <v>58</v>
      </c>
      <c r="G60" s="457" t="s">
        <v>1477</v>
      </c>
      <c r="H60" s="457" t="s">
        <v>1210</v>
      </c>
      <c r="I60" s="443" t="s">
        <v>1441</v>
      </c>
      <c r="J60" s="457" t="s">
        <v>1480</v>
      </c>
      <c r="K60" s="457" t="s">
        <v>1481</v>
      </c>
      <c r="L60" s="238" t="s">
        <v>1208</v>
      </c>
      <c r="M60" s="238"/>
      <c r="N60" s="238"/>
      <c r="O60" s="238"/>
      <c r="P60" s="76" t="s">
        <v>1476</v>
      </c>
      <c r="Q60" s="238"/>
      <c r="R60" s="79"/>
    </row>
    <row r="61" spans="1:21" ht="16.5">
      <c r="A61" s="462"/>
      <c r="B61" s="462"/>
      <c r="C61" s="462"/>
      <c r="D61" s="462"/>
      <c r="E61" s="462"/>
      <c r="F61" s="76">
        <v>59</v>
      </c>
      <c r="G61" s="457" t="s">
        <v>1477</v>
      </c>
      <c r="H61" s="457" t="s">
        <v>1210</v>
      </c>
      <c r="I61" s="459" t="s">
        <v>1158</v>
      </c>
      <c r="J61" s="457" t="s">
        <v>1482</v>
      </c>
      <c r="K61" s="457" t="s">
        <v>1483</v>
      </c>
      <c r="L61" s="238" t="s">
        <v>1324</v>
      </c>
      <c r="M61" s="238"/>
      <c r="N61" s="238"/>
      <c r="O61" s="433" t="s">
        <v>1262</v>
      </c>
      <c r="P61" s="76" t="s">
        <v>1476</v>
      </c>
      <c r="Q61" s="238"/>
      <c r="R61" s="79"/>
    </row>
    <row r="62" spans="1:21" ht="16.5" hidden="1">
      <c r="A62" s="462"/>
      <c r="B62" s="462"/>
      <c r="C62" s="462"/>
      <c r="D62" s="462"/>
      <c r="E62" s="462"/>
      <c r="F62" s="76">
        <v>60</v>
      </c>
      <c r="G62" s="457" t="s">
        <v>1477</v>
      </c>
      <c r="H62" s="457" t="s">
        <v>1210</v>
      </c>
      <c r="I62" s="443" t="s">
        <v>1484</v>
      </c>
      <c r="J62" s="457" t="s">
        <v>1485</v>
      </c>
      <c r="K62" s="457" t="s">
        <v>1486</v>
      </c>
      <c r="L62" s="238" t="s">
        <v>1208</v>
      </c>
      <c r="M62" s="238"/>
      <c r="N62" s="238"/>
      <c r="O62" s="238"/>
      <c r="P62" s="76" t="s">
        <v>1476</v>
      </c>
      <c r="Q62" s="238"/>
      <c r="R62" s="79"/>
    </row>
    <row r="63" spans="1:21" ht="16.5">
      <c r="A63" s="462"/>
      <c r="B63" s="462"/>
      <c r="C63" s="462"/>
      <c r="D63" s="462"/>
      <c r="E63" s="462"/>
      <c r="F63" s="76">
        <v>61</v>
      </c>
      <c r="G63" s="457" t="s">
        <v>1477</v>
      </c>
      <c r="H63" s="457" t="s">
        <v>1210</v>
      </c>
      <c r="I63" s="459" t="s">
        <v>1161</v>
      </c>
      <c r="J63" s="457" t="s">
        <v>1487</v>
      </c>
      <c r="K63" s="457" t="s">
        <v>1488</v>
      </c>
      <c r="L63" s="238" t="s">
        <v>1324</v>
      </c>
      <c r="M63" s="238"/>
      <c r="N63" s="238"/>
      <c r="O63" s="433" t="s">
        <v>1262</v>
      </c>
      <c r="P63" s="76" t="s">
        <v>1476</v>
      </c>
      <c r="Q63" s="238"/>
      <c r="R63" s="79"/>
    </row>
    <row r="64" spans="1:21" ht="16.5">
      <c r="A64" s="462"/>
      <c r="B64" s="462"/>
      <c r="C64" s="462"/>
      <c r="D64" s="462"/>
      <c r="E64" s="462"/>
      <c r="F64" s="76">
        <v>62</v>
      </c>
      <c r="G64" s="457" t="s">
        <v>1477</v>
      </c>
      <c r="H64" s="457" t="s">
        <v>1210</v>
      </c>
      <c r="I64" s="443" t="s">
        <v>1489</v>
      </c>
      <c r="J64" s="457" t="s">
        <v>1478</v>
      </c>
      <c r="K64" s="457" t="s">
        <v>1490</v>
      </c>
      <c r="L64" s="238" t="s">
        <v>1324</v>
      </c>
      <c r="M64" s="238"/>
      <c r="N64" s="238"/>
      <c r="O64" s="433" t="s">
        <v>1262</v>
      </c>
      <c r="P64" s="464" t="s">
        <v>1491</v>
      </c>
      <c r="Q64" s="238"/>
      <c r="R64" s="79"/>
    </row>
  </sheetData>
  <autoFilter ref="F2:P64" xr:uid="{00000000-0001-0000-0100-000000000000}">
    <filterColumn colId="9">
      <filters>
        <filter val="O"/>
      </filters>
    </filterColumn>
  </autoFilter>
  <mergeCells count="16">
    <mergeCell ref="V20:W20"/>
    <mergeCell ref="Z2:AA2"/>
    <mergeCell ref="V15:W15"/>
    <mergeCell ref="A1:D1"/>
    <mergeCell ref="V8:W8"/>
    <mergeCell ref="V2:X2"/>
    <mergeCell ref="V9:W9"/>
    <mergeCell ref="E1:R1"/>
    <mergeCell ref="V7:W7"/>
    <mergeCell ref="V10:W10"/>
    <mergeCell ref="V11:W11"/>
    <mergeCell ref="V12:V14"/>
    <mergeCell ref="V3:W3"/>
    <mergeCell ref="V4:W4"/>
    <mergeCell ref="V6:W6"/>
    <mergeCell ref="V5:W5"/>
  </mergeCells>
  <phoneticPr fontId="1" type="noConversion"/>
  <hyperlinks>
    <hyperlink ref="I7" location="'공통_menu'!B1" display="menu" xr:uid="{E6528C76-BDE7-4664-ACFF-20578C3A35BD}"/>
    <hyperlink ref="I10" location="'공통_if_gl_account'!B1" display="if_gl_account" xr:uid="{A98F35D0-8D60-482A-B641-0F9A231076DB}"/>
    <hyperlink ref="I11" location="'공통_gl_account'!B1" display="gl_account" xr:uid="{99CE7FCC-394B-48E5-BAC0-57DC5A91F2C1}"/>
    <hyperlink ref="I12" location="'공통_if_commitment_item'!B1" display="if_commitment_item" xr:uid="{C0F33E0E-7596-4BBE-A9E7-7A44BD5805E6}"/>
    <hyperlink ref="I7" location="'공통_menu'!B1" display="menu" xr:uid="{5674359A-6901-4357-9897-55D7FC05BB7B}"/>
    <hyperlink ref="I8" location="'공통_code_header'!B1" display="code_header" xr:uid="{874FE5CA-102F-4086-9CDD-CB30D300BD2B}"/>
    <hyperlink ref="I9" location="'공통_code_items'!B1" display="code_items" xr:uid="{A1A7B587-11A0-4E2F-B061-D9B23B4EEBC2}"/>
    <hyperlink ref="I10" location="'공통_if_gl_account'!B1" display="if_gl_account" xr:uid="{BEDFE5BD-1F8D-454F-8FCA-449B29A79FF1}"/>
    <hyperlink ref="I11" location="'공통_gl_account'!B1" display="gl_account" xr:uid="{28C6C5A8-DF87-4117-8DFA-EC142575334B}"/>
    <hyperlink ref="I12" location="'공통_if_commitment_item'!B1" display="if_commitment_item" xr:uid="{1B958154-5220-47D1-94A2-A8388DA2B017}"/>
    <hyperlink ref="I13" location="'공통_commitment_item'!B1" display="commitment_item" xr:uid="{B54C7A6D-69D9-46D1-9EFE-094A55BD326F}"/>
    <hyperlink ref="I14" location="'공통_if_org'!B1" display="if_org" xr:uid="{86A4F9E0-81A6-413C-9CE2-8E673EBECAB3}"/>
    <hyperlink ref="I15" location="'공통_org'!B1" display="org" xr:uid="{A4FD49A8-090C-4864-BB5A-87ABC2E25C4A}"/>
    <hyperlink ref="I17" location="'공통_if_org_map'!B1" display="if_org_map" xr:uid="{9B36B910-448E-4675-910C-29F6DC03EAB4}"/>
    <hyperlink ref="I18" location="'공통_org_map'!B1" display="org_map" xr:uid="{6E201782-6A0C-409B-922E-C45C22D740F5}"/>
    <hyperlink ref="I20" location="'공통_if_customer'!B1" display="if_customer" xr:uid="{35483D87-F03D-4DCF-AEBF-DE2C22E31A06}"/>
    <hyperlink ref="I21" location="'공통_customer'!B1" display="customer" xr:uid="{29943A37-6A13-46BE-8B6F-5A038A9D9C81}"/>
    <hyperlink ref="I22" location="'공통_if_project'!B1" display="if_project" xr:uid="{1DFD722E-E213-4E66-BDB1-E8E48947B8C3}"/>
    <hyperlink ref="I24" location="'공통_project'!B1" display="project" xr:uid="{3734C621-D6A7-419E-91F1-4177DB1BC45D}"/>
    <hyperlink ref="I29" location="'공통_account'!B1" display="account" xr:uid="{F9E6F5BA-101F-40A8-8F1F-F99239295167}"/>
    <hyperlink ref="I31" location="'수주매출_if_wideview'!B1" display="if_wideview" xr:uid="{8BE1FD76-3694-49FF-A9AE-37AA5703B3CB}"/>
    <hyperlink ref="I32" location="'수주매출_if_wg'!B1" display="if_wg" xr:uid="{C68D5F32-2A4C-41D0-B187-48D462F31845}"/>
    <hyperlink ref="I58" location="'SC(자회사)_if_pl'!A1" display="if_pl" xr:uid="{70B4B581-1FDD-47F4-9CC3-CA8E43F38124}"/>
    <hyperlink ref="I34" location="수주매출_if_platform!A1" display="if_platform" xr:uid="{3E13DD0E-34D8-4675-9DCE-A77ABE09AF9D}"/>
    <hyperlink ref="I36" location="'수주매출_if_sfdc'!B1" display="if_sfdc" xr:uid="{7ADC241B-A855-4804-B4F8-8BA2656C6CC0}"/>
    <hyperlink ref="I33" location="'수주매출_wideview'!B1" display="wideview" xr:uid="{DC2B5544-1EBA-48E3-B7AA-67F6120CD271}"/>
    <hyperlink ref="I38" location="'인력_if_prj_labor'!B1" display="if_prj_labor" xr:uid="{14604DFD-6D94-48FC-84D5-EB9AE039B37E}"/>
    <hyperlink ref="I39" location="'인력_prj_labor'!B1" display="prj_labor" xr:uid="{48DE9031-1EC4-44E2-9A63-246FB4EA1533}"/>
    <hyperlink ref="I42" location="'인력_if_org_total_labor'!B1" display="if_org_total_labor" xr:uid="{84061D26-BC61-4038-8B6C-0533A345BE00}"/>
    <hyperlink ref="I43" location="'인력_org_total_labor'!B1" display="org_total_labor" xr:uid="{C957D5AA-6B82-4DE5-B75F-84F024719B5B}"/>
    <hyperlink ref="I44" location="'인력_opp_labor'!B1" display="opp_labor" xr:uid="{D78DA49F-2217-490B-9859-E590D30DF4BC}"/>
    <hyperlink ref="I45" location="'SG&amp;A(투자)_if_investment'!B1" display="if_investment" xr:uid="{C31B817E-4C68-4578-8EAA-26204FF018E1}"/>
    <hyperlink ref="I46" location="'SG&amp;A(투자)_investment'!B1" display="investment" xr:uid="{6F46EBDD-4057-4447-A3DC-4C431F758188}"/>
    <hyperlink ref="I49" location="'SG&amp;A(경비)_if_expense'!B1" display="if_expense" xr:uid="{D442C0CF-B22B-4788-9FE8-A990D0777FCD}"/>
    <hyperlink ref="I50" location="'SG&amp;A(경비)_expense'!B1" display="expense" xr:uid="{A822C61E-6980-419F-9C4C-E6804FD9AF77}"/>
    <hyperlink ref="I52" location="'SG&amp;A(공통)_wideview'!B1" display="wideview" xr:uid="{E15B1382-A0A6-4671-A406-665EF63E89DB}"/>
    <hyperlink ref="I56" location="외주비_wideview!A1" display="wideview" xr:uid="{4C422892-D688-4D68-9C69-3667B6597CEA}"/>
    <hyperlink ref="I57" location="외주비_ito_map!A1" display="ito_map" xr:uid="{61829DA8-D792-47E6-97A3-ED033C3771B9}"/>
    <hyperlink ref="I40" location="인력_if_org_mm!A1" display="if_org_mm" xr:uid="{F3C1494D-FE62-422E-AAE5-2449B7EF2FE4}"/>
    <hyperlink ref="I37" location="수주매출_sfdc_contract!A1" display="sfdc_contract" xr:uid="{461C6FCB-C518-41D1-A98E-CE0F9E9AE18A}"/>
    <hyperlink ref="I60" location="'SC(자회사)_if_expense'!A1" display="if_sga_expense_sc" xr:uid="{B779FF39-D0B6-40BA-9A89-6AC6B5A24A38}"/>
    <hyperlink ref="I62" location="'SC(자회사)_if_labor'!A1" display="if_sga_labor_sc" xr:uid="{F731FC51-AE09-4F2C-AC64-6EBC77F26860}"/>
    <hyperlink ref="I59" location="'SC(자회사)_wideview'!A1" display="wideview_sc" xr:uid="{8E3FA673-CF88-497B-AF68-1CD200DB05EA}"/>
    <hyperlink ref="I61" location="'SC(자회사)_expense'!A1" display="sga_expense_sc" xr:uid="{FF737055-1997-4FD1-A055-0F3800490B6C}"/>
    <hyperlink ref="I63" location="'SC(자회사)_labor'!A1" display="sga_labor_sc" xr:uid="{9F12C423-46FD-4F15-9F6E-04D481DDAB7F}"/>
    <hyperlink ref="I41" location="인력_org_mm!A1" display="org_mm" xr:uid="{E64F687D-E4A6-4F99-AFA9-61FB59B739A4}"/>
    <hyperlink ref="I3" location="공통_version!B1" display="version" xr:uid="{4D9843B4-21FA-40A5-A85C-53E6BDA5CF8D}"/>
    <hyperlink ref="I4" location="공통_version_sfdc!B1" display="version_sfdc" xr:uid="{7596F7DB-1CAD-4B70-9927-C0D2BB0F6CFC}"/>
    <hyperlink ref="I53" location="'외주비_if_ito'!A1" display="if_ito" xr:uid="{F893921D-F742-4841-ADE2-75D089002477}"/>
    <hyperlink ref="I54" location="'외주비_ito'!A1" display="ito" xr:uid="{6C42944D-3BF5-4724-B6E5-FE23D78CAF34}"/>
    <hyperlink ref="I55" location="'외주비_ito_sfdc'!A1" display="ito_sfdc" xr:uid="{CC29A27B-C502-4FAB-A5E8-62D873F0B81B}"/>
    <hyperlink ref="I23" location="'공통_project'!B1" display="project" xr:uid="{B82E4483-D8BF-4027-B1DB-B443A690D9E3}"/>
    <hyperlink ref="I64" location="'SC(자회사)_pl_wideview'!A1" display="pl_wideview" xr:uid="{A39E8B01-E464-4A2F-BBA9-A63ABC209F0B}"/>
    <hyperlink ref="I26" location="공통_target!A1" display="target" xr:uid="{407EEC60-BF67-4F24-9E4A-9B7677AA8C55}"/>
    <hyperlink ref="I16" location="공통_org_type!A1" display="org_type" xr:uid="{641BB197-D484-4991-BD5B-6EFDC31C7A75}"/>
    <hyperlink ref="I25" location="공통_target_account!A1" display="target_customer" xr:uid="{6614126B-C45F-4F72-9B04-065061BFAB7D}"/>
    <hyperlink ref="I30" location="공통_if_account!A1" display="if_account" xr:uid="{15A3D4A2-3346-4463-9695-A08128FEB6A8}"/>
    <hyperlink ref="I27" location="공통_dt_task!B1" display="dt_task" xr:uid="{8419B9D2-D695-420B-A17A-C92F6FD27D32}"/>
    <hyperlink ref="I28" location="공통_if_dt_task!B1" display="if_dt_task" xr:uid="{BA40EE8B-18CA-47C0-B827-26FF0A8F03DE}"/>
    <hyperlink ref="I35" location="수주매출_contract_amt!A1" display="contract_amt" xr:uid="{12F243EC-2F78-4B60-9452-C7C184544AF9}"/>
    <hyperlink ref="I6" location="'공통_menu'!B1" display="menu" xr:uid="{F295E6CA-F32C-486E-BC58-1CDE68C9A160}"/>
    <hyperlink ref="I5" location="'공통_menu'!B1" display="menu" xr:uid="{5B00E42A-EDE0-4A75-9617-88B34563C1A3}"/>
    <hyperlink ref="I51" location="'SG&amp;A(경비)_expense_view'!A1" display="expense_view" xr:uid="{635B0CFF-8688-4E32-BD2E-8E79C5DAFEA1}"/>
    <hyperlink ref="I48" location="'SG&amp;A(관리)_if_expense_co'!A1" display="if_expense_co" xr:uid="{32197F53-1BAB-479C-8CAB-79DF61B1D254}"/>
    <hyperlink ref="I47" location="'SG&amp;A(관리)_expense_co'!A1" display="expense_co" xr:uid="{306820FA-1BCB-4FB2-8E49-4978317AC1A9}"/>
  </hyperlinks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FBF4B-3271-42E4-99A8-F3F6C6D0B256}">
  <sheetPr codeName="Sheet19">
    <tabColor rgb="FFFFFF00"/>
  </sheetPr>
  <dimension ref="A1:N24"/>
  <sheetViews>
    <sheetView workbookViewId="0">
      <selection activeCell="G19" sqref="G19"/>
    </sheetView>
  </sheetViews>
  <sheetFormatPr defaultRowHeight="16.5"/>
  <cols>
    <col min="2" max="2" width="6.875" bestFit="1" customWidth="1"/>
    <col min="3" max="3" width="18.75" bestFit="1" customWidth="1"/>
    <col min="4" max="4" width="24.25" bestFit="1" customWidth="1"/>
    <col min="5" max="5" width="3.75" bestFit="1" customWidth="1"/>
    <col min="6" max="6" width="3.75" customWidth="1"/>
    <col min="7" max="7" width="27.875" bestFit="1" customWidth="1"/>
    <col min="8" max="8" width="10.5" bestFit="1" customWidth="1"/>
    <col min="9" max="9" width="12.875" bestFit="1" customWidth="1"/>
    <col min="10" max="10" width="8.5" bestFit="1" customWidth="1"/>
    <col min="11" max="11" width="51.75" customWidth="1"/>
    <col min="12" max="12" width="36.5" bestFit="1" customWidth="1"/>
  </cols>
  <sheetData>
    <row r="1" spans="1:13" ht="20.25">
      <c r="A1" s="4"/>
      <c r="B1" s="258" t="s">
        <v>1492</v>
      </c>
      <c r="D1" s="482" t="s">
        <v>1248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83"/>
      <c r="D3" s="484" t="s">
        <v>320</v>
      </c>
      <c r="E3" s="485"/>
      <c r="F3" s="485"/>
      <c r="G3" s="486"/>
      <c r="H3" s="485" t="s">
        <v>1128</v>
      </c>
      <c r="I3" s="485"/>
      <c r="J3" s="486"/>
      <c r="K3" s="11"/>
      <c r="L3" s="11"/>
    </row>
    <row r="4" spans="1:13">
      <c r="A4" s="4"/>
      <c r="B4" s="477" t="s">
        <v>1231</v>
      </c>
      <c r="C4" s="478"/>
      <c r="D4" s="479" t="s">
        <v>1320</v>
      </c>
      <c r="E4" s="480"/>
      <c r="F4" s="480"/>
      <c r="G4" s="480"/>
      <c r="H4" s="480"/>
      <c r="I4" s="480"/>
      <c r="J4" s="481"/>
      <c r="K4" s="11"/>
      <c r="L4" s="11"/>
    </row>
    <row r="5" spans="1:13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3">
      <c r="A6" s="4"/>
      <c r="B6" s="8">
        <v>1</v>
      </c>
      <c r="C6" s="8" t="s">
        <v>1495</v>
      </c>
      <c r="D6" s="42" t="s">
        <v>1496</v>
      </c>
      <c r="E6" s="25" t="s">
        <v>1065</v>
      </c>
      <c r="F6" s="8"/>
      <c r="G6" s="218"/>
      <c r="H6" s="8" t="s">
        <v>1065</v>
      </c>
      <c r="I6" s="218" t="s">
        <v>17</v>
      </c>
      <c r="J6" s="218"/>
      <c r="K6" s="339" t="s">
        <v>1497</v>
      </c>
      <c r="L6" s="340"/>
      <c r="M6" t="s">
        <v>1498</v>
      </c>
    </row>
    <row r="7" spans="1:13">
      <c r="A7" s="4"/>
      <c r="B7" s="8">
        <v>2</v>
      </c>
      <c r="C7" s="8" t="s">
        <v>1130</v>
      </c>
      <c r="D7" s="406" t="s">
        <v>320</v>
      </c>
      <c r="E7" s="25"/>
      <c r="F7" s="8"/>
      <c r="G7" s="8"/>
      <c r="H7" s="8" t="s">
        <v>1065</v>
      </c>
      <c r="I7" s="8" t="s">
        <v>947</v>
      </c>
      <c r="J7" s="8">
        <v>20</v>
      </c>
      <c r="K7" s="156" t="s">
        <v>1499</v>
      </c>
      <c r="L7" s="156" t="s">
        <v>1500</v>
      </c>
      <c r="M7" s="392" t="s">
        <v>1501</v>
      </c>
    </row>
    <row r="8" spans="1:13" ht="16.5" customHeight="1">
      <c r="A8" s="4"/>
      <c r="B8" s="8">
        <v>3</v>
      </c>
      <c r="C8" s="8" t="s">
        <v>1502</v>
      </c>
      <c r="D8" s="42" t="s">
        <v>1503</v>
      </c>
      <c r="E8" s="8"/>
      <c r="F8" s="8"/>
      <c r="G8" s="8"/>
      <c r="H8" s="8" t="s">
        <v>1065</v>
      </c>
      <c r="I8" s="8" t="s">
        <v>947</v>
      </c>
      <c r="J8" s="8">
        <v>1</v>
      </c>
      <c r="K8" s="117" t="s">
        <v>1504</v>
      </c>
      <c r="L8" s="156"/>
      <c r="M8" s="113" t="s">
        <v>1505</v>
      </c>
    </row>
    <row r="9" spans="1:13">
      <c r="A9" s="4"/>
      <c r="B9" s="8">
        <v>4</v>
      </c>
      <c r="C9" s="8" t="s">
        <v>1082</v>
      </c>
      <c r="D9" s="42" t="s">
        <v>1081</v>
      </c>
      <c r="E9" s="3"/>
      <c r="F9" s="3"/>
      <c r="G9" s="256"/>
      <c r="H9" s="8"/>
      <c r="I9" s="8" t="s">
        <v>947</v>
      </c>
      <c r="J9" s="8">
        <v>4</v>
      </c>
      <c r="K9" s="117"/>
      <c r="L9" s="341"/>
      <c r="M9" t="s">
        <v>1506</v>
      </c>
    </row>
    <row r="10" spans="1:13">
      <c r="A10" s="4"/>
      <c r="B10" s="8">
        <v>5</v>
      </c>
      <c r="C10" s="8" t="s">
        <v>1084</v>
      </c>
      <c r="D10" s="16" t="s">
        <v>1083</v>
      </c>
      <c r="E10" s="3"/>
      <c r="F10" s="3"/>
      <c r="G10" s="8"/>
      <c r="H10" s="8"/>
      <c r="I10" s="8" t="s">
        <v>947</v>
      </c>
      <c r="J10" s="8">
        <v>2</v>
      </c>
      <c r="K10" s="117"/>
      <c r="L10" s="341"/>
      <c r="M10" t="s">
        <v>1507</v>
      </c>
    </row>
    <row r="11" spans="1:13">
      <c r="A11" s="4"/>
      <c r="B11" s="8">
        <v>6</v>
      </c>
      <c r="C11" s="428" t="s">
        <v>1508</v>
      </c>
      <c r="D11" s="42" t="s">
        <v>1509</v>
      </c>
      <c r="E11" s="15"/>
      <c r="F11" s="428"/>
      <c r="G11" s="428"/>
      <c r="H11" s="428" t="s">
        <v>1065</v>
      </c>
      <c r="I11" s="428" t="s">
        <v>1019</v>
      </c>
      <c r="J11" s="428"/>
      <c r="K11" s="156" t="s">
        <v>1510</v>
      </c>
      <c r="L11" s="396"/>
    </row>
    <row r="12" spans="1:13">
      <c r="A12" s="4"/>
      <c r="B12" s="8">
        <v>7</v>
      </c>
      <c r="C12" s="20" t="s">
        <v>27</v>
      </c>
      <c r="D12" s="20" t="s">
        <v>28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951</v>
      </c>
      <c r="J12" s="20"/>
      <c r="K12" s="30" t="s">
        <v>1511</v>
      </c>
      <c r="L12" s="44" t="s">
        <v>1072</v>
      </c>
    </row>
    <row r="13" spans="1:13">
      <c r="A13" s="4"/>
      <c r="B13" s="8">
        <v>8</v>
      </c>
      <c r="C13" s="20" t="s">
        <v>33</v>
      </c>
      <c r="D13" s="20" t="s">
        <v>34</v>
      </c>
      <c r="E13" s="20" t="s">
        <v>1072</v>
      </c>
      <c r="F13" s="20" t="s">
        <v>1072</v>
      </c>
      <c r="G13" s="20" t="s">
        <v>1072</v>
      </c>
      <c r="H13" s="20" t="s">
        <v>1072</v>
      </c>
      <c r="I13" s="20" t="s">
        <v>947</v>
      </c>
      <c r="J13" s="20"/>
      <c r="K13" s="30" t="s">
        <v>1511</v>
      </c>
      <c r="L13" s="44" t="s">
        <v>1072</v>
      </c>
    </row>
    <row r="14" spans="1:13">
      <c r="A14" s="4"/>
      <c r="B14" s="8">
        <v>9</v>
      </c>
      <c r="C14" s="20" t="s">
        <v>37</v>
      </c>
      <c r="D14" s="20" t="s">
        <v>38</v>
      </c>
      <c r="E14" s="20" t="s">
        <v>1072</v>
      </c>
      <c r="F14" s="20" t="s">
        <v>1072</v>
      </c>
      <c r="G14" s="20" t="s">
        <v>1072</v>
      </c>
      <c r="H14" s="20" t="s">
        <v>1072</v>
      </c>
      <c r="I14" s="20" t="s">
        <v>951</v>
      </c>
      <c r="J14" s="20"/>
      <c r="K14" s="30" t="s">
        <v>1511</v>
      </c>
      <c r="L14" s="44" t="s">
        <v>1072</v>
      </c>
    </row>
    <row r="15" spans="1:13">
      <c r="A15" s="4"/>
      <c r="B15" s="8">
        <v>10</v>
      </c>
      <c r="C15" s="20" t="s">
        <v>1002</v>
      </c>
      <c r="D15" s="20" t="s">
        <v>44</v>
      </c>
      <c r="E15" s="20" t="s">
        <v>1072</v>
      </c>
      <c r="F15" s="20" t="s">
        <v>1072</v>
      </c>
      <c r="G15" s="20" t="s">
        <v>1072</v>
      </c>
      <c r="H15" s="20" t="s">
        <v>1072</v>
      </c>
      <c r="I15" s="20" t="s">
        <v>947</v>
      </c>
      <c r="J15" s="20"/>
      <c r="K15" s="30" t="s">
        <v>1511</v>
      </c>
      <c r="L15" s="44" t="s">
        <v>1072</v>
      </c>
    </row>
    <row r="16" spans="1:13">
      <c r="A16" s="4"/>
    </row>
    <row r="17" spans="1:14">
      <c r="A17" s="4"/>
    </row>
    <row r="18" spans="1:14">
      <c r="D18" s="41"/>
    </row>
    <row r="19" spans="1:14">
      <c r="C19" s="41"/>
      <c r="D19" s="41"/>
      <c r="I19" s="41"/>
      <c r="K19" s="181"/>
      <c r="L19" s="259"/>
    </row>
    <row r="20" spans="1:14">
      <c r="C20" s="41"/>
    </row>
    <row r="24" spans="1:14">
      <c r="N24" t="str">
        <f>LOWER(C22)</f>
        <v/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F921C0DD-3351-4999-8FAB-E7651F34FFD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C6C12-B8B1-4BBC-88F9-D3A3EA48C0EC}">
  <sheetPr codeName="Sheet57">
    <tabColor rgb="FFFFFF00"/>
  </sheetPr>
  <dimension ref="A1:N26"/>
  <sheetViews>
    <sheetView workbookViewId="0">
      <selection activeCell="K13" sqref="K13"/>
    </sheetView>
  </sheetViews>
  <sheetFormatPr defaultRowHeight="16.5"/>
  <cols>
    <col min="2" max="2" width="6.875" bestFit="1" customWidth="1"/>
    <col min="3" max="3" width="18.75" bestFit="1" customWidth="1"/>
    <col min="4" max="4" width="24.25" bestFit="1" customWidth="1"/>
    <col min="5" max="5" width="3.75" bestFit="1" customWidth="1"/>
    <col min="6" max="6" width="3.75" customWidth="1"/>
    <col min="7" max="7" width="27.875" bestFit="1" customWidth="1"/>
    <col min="8" max="8" width="10.5" bestFit="1" customWidth="1"/>
    <col min="9" max="9" width="12.875" bestFit="1" customWidth="1"/>
    <col min="10" max="10" width="8.5" bestFit="1" customWidth="1"/>
    <col min="11" max="11" width="51.75" customWidth="1"/>
    <col min="12" max="12" width="36.5" bestFit="1" customWidth="1"/>
    <col min="13" max="13" width="255.625" bestFit="1" customWidth="1"/>
  </cols>
  <sheetData>
    <row r="1" spans="1:13" ht="20.25">
      <c r="A1" s="4"/>
      <c r="B1" s="258" t="s">
        <v>1492</v>
      </c>
      <c r="D1" s="482" t="s">
        <v>1253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83"/>
      <c r="D3" s="484" t="s">
        <v>1251</v>
      </c>
      <c r="E3" s="484"/>
      <c r="F3" s="484"/>
      <c r="G3" s="484"/>
      <c r="H3" s="485" t="s">
        <v>1512</v>
      </c>
      <c r="I3" s="485"/>
      <c r="J3" s="485"/>
      <c r="K3" s="11"/>
      <c r="L3" s="11"/>
    </row>
    <row r="4" spans="1:13">
      <c r="A4" s="4"/>
      <c r="B4" s="477" t="s">
        <v>1231</v>
      </c>
      <c r="C4" s="477"/>
      <c r="D4" s="479" t="s">
        <v>1320</v>
      </c>
      <c r="E4" s="479"/>
      <c r="F4" s="479"/>
      <c r="G4" s="479"/>
      <c r="H4" s="479"/>
      <c r="I4" s="479"/>
      <c r="J4" s="479"/>
      <c r="K4" s="11"/>
      <c r="L4" s="11"/>
    </row>
    <row r="5" spans="1:13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3" ht="27">
      <c r="A6" s="4"/>
      <c r="B6" s="8">
        <v>1</v>
      </c>
      <c r="C6" s="8" t="s">
        <v>16</v>
      </c>
      <c r="D6" s="42" t="s">
        <v>961</v>
      </c>
      <c r="E6" s="25" t="s">
        <v>1065</v>
      </c>
      <c r="F6" s="8"/>
      <c r="G6" s="218"/>
      <c r="H6" s="8" t="s">
        <v>1065</v>
      </c>
      <c r="I6" s="8" t="s">
        <v>17</v>
      </c>
      <c r="J6" s="8"/>
      <c r="K6" s="338" t="s">
        <v>1513</v>
      </c>
      <c r="L6" s="342"/>
      <c r="M6" s="487" t="s">
        <v>1514</v>
      </c>
    </row>
    <row r="7" spans="1:13" ht="27">
      <c r="A7" s="4"/>
      <c r="B7" s="8">
        <v>2</v>
      </c>
      <c r="C7" s="8" t="s">
        <v>1515</v>
      </c>
      <c r="D7" s="406" t="s">
        <v>320</v>
      </c>
      <c r="E7" s="25" t="s">
        <v>1065</v>
      </c>
      <c r="F7" s="8"/>
      <c r="G7" s="8"/>
      <c r="H7" s="8" t="s">
        <v>1065</v>
      </c>
      <c r="I7" s="8" t="s">
        <v>1516</v>
      </c>
      <c r="J7" s="8">
        <v>20</v>
      </c>
      <c r="K7" s="117" t="s">
        <v>1517</v>
      </c>
      <c r="L7" s="343" t="s">
        <v>1518</v>
      </c>
      <c r="M7" s="487"/>
    </row>
    <row r="8" spans="1:13" ht="27">
      <c r="A8" s="4"/>
      <c r="B8" s="8">
        <v>3</v>
      </c>
      <c r="C8" s="8" t="s">
        <v>1519</v>
      </c>
      <c r="D8" s="42" t="s">
        <v>1520</v>
      </c>
      <c r="E8" s="8"/>
      <c r="F8" s="8"/>
      <c r="G8" s="8"/>
      <c r="H8" s="8" t="s">
        <v>1065</v>
      </c>
      <c r="I8" s="8" t="s">
        <v>1516</v>
      </c>
      <c r="J8" s="8">
        <v>1</v>
      </c>
      <c r="K8" s="117" t="s">
        <v>1504</v>
      </c>
      <c r="L8" s="344"/>
      <c r="M8" s="346" t="s">
        <v>1521</v>
      </c>
    </row>
    <row r="9" spans="1:13">
      <c r="A9" s="4"/>
      <c r="B9" s="8">
        <v>4</v>
      </c>
      <c r="C9" s="8" t="s">
        <v>270</v>
      </c>
      <c r="D9" s="42" t="s">
        <v>271</v>
      </c>
      <c r="E9" s="3"/>
      <c r="F9" s="3"/>
      <c r="G9" s="256"/>
      <c r="H9" s="8" t="s">
        <v>1065</v>
      </c>
      <c r="I9" s="8" t="s">
        <v>1516</v>
      </c>
      <c r="J9" s="8">
        <v>4</v>
      </c>
      <c r="K9" s="3"/>
      <c r="L9" s="345"/>
      <c r="M9" s="346" t="s">
        <v>1522</v>
      </c>
    </row>
    <row r="10" spans="1:13">
      <c r="A10" s="4"/>
      <c r="B10" s="8">
        <v>5</v>
      </c>
      <c r="C10" s="8" t="s">
        <v>274</v>
      </c>
      <c r="D10" s="16" t="s">
        <v>1080</v>
      </c>
      <c r="E10" s="3"/>
      <c r="F10" s="3"/>
      <c r="G10" s="8"/>
      <c r="H10" s="8" t="s">
        <v>1065</v>
      </c>
      <c r="I10" s="8" t="s">
        <v>1516</v>
      </c>
      <c r="J10" s="16">
        <v>2</v>
      </c>
      <c r="K10" s="3"/>
      <c r="L10" s="345"/>
      <c r="M10" s="346" t="s">
        <v>1523</v>
      </c>
    </row>
    <row r="11" spans="1:13">
      <c r="A11" s="4"/>
      <c r="B11" s="8">
        <v>6</v>
      </c>
      <c r="C11" s="8" t="s">
        <v>1524</v>
      </c>
      <c r="D11" s="16" t="s">
        <v>1525</v>
      </c>
      <c r="E11" s="3"/>
      <c r="F11" s="3"/>
      <c r="G11" s="8"/>
      <c r="H11" s="8" t="s">
        <v>1065</v>
      </c>
      <c r="I11" s="8" t="s">
        <v>1516</v>
      </c>
      <c r="J11" s="16">
        <v>2</v>
      </c>
      <c r="K11" s="3" t="s">
        <v>1526</v>
      </c>
      <c r="L11" s="345"/>
      <c r="M11" s="346" t="s">
        <v>1527</v>
      </c>
    </row>
    <row r="12" spans="1:13">
      <c r="A12" s="4"/>
      <c r="B12" s="8">
        <v>7</v>
      </c>
      <c r="C12" s="8" t="s">
        <v>1528</v>
      </c>
      <c r="D12" s="8" t="s">
        <v>1529</v>
      </c>
      <c r="E12" s="427"/>
      <c r="F12" s="15"/>
      <c r="G12" s="8"/>
      <c r="H12" s="8" t="s">
        <v>1065</v>
      </c>
      <c r="I12" s="8" t="s">
        <v>1516</v>
      </c>
      <c r="J12" s="8">
        <v>2</v>
      </c>
      <c r="K12" s="117"/>
      <c r="L12" s="394"/>
    </row>
    <row r="13" spans="1:13">
      <c r="A13" s="4"/>
      <c r="B13" s="8">
        <v>8</v>
      </c>
      <c r="C13" s="428" t="s">
        <v>1508</v>
      </c>
      <c r="D13" s="42" t="s">
        <v>1509</v>
      </c>
      <c r="E13" s="15"/>
      <c r="F13" s="428"/>
      <c r="G13" s="428"/>
      <c r="H13" s="428" t="s">
        <v>1065</v>
      </c>
      <c r="I13" s="428" t="s">
        <v>1019</v>
      </c>
      <c r="J13" s="428"/>
      <c r="K13" s="156" t="s">
        <v>1510</v>
      </c>
      <c r="L13" s="396"/>
    </row>
    <row r="14" spans="1:13">
      <c r="A14" s="4"/>
      <c r="B14" s="8">
        <v>9</v>
      </c>
      <c r="C14" s="20" t="s">
        <v>27</v>
      </c>
      <c r="D14" s="20" t="s">
        <v>28</v>
      </c>
      <c r="E14" s="20" t="s">
        <v>1072</v>
      </c>
      <c r="F14" s="20" t="s">
        <v>1072</v>
      </c>
      <c r="G14" s="20" t="s">
        <v>1072</v>
      </c>
      <c r="H14" s="20" t="s">
        <v>1072</v>
      </c>
      <c r="I14" s="20" t="s">
        <v>951</v>
      </c>
      <c r="J14" s="20"/>
      <c r="K14" s="30" t="s">
        <v>1511</v>
      </c>
      <c r="L14" s="44" t="s">
        <v>1072</v>
      </c>
    </row>
    <row r="15" spans="1:13">
      <c r="A15" s="4"/>
      <c r="B15" s="8">
        <v>10</v>
      </c>
      <c r="C15" s="20" t="s">
        <v>33</v>
      </c>
      <c r="D15" s="20" t="s">
        <v>34</v>
      </c>
      <c r="E15" s="20" t="s">
        <v>1072</v>
      </c>
      <c r="F15" s="20" t="s">
        <v>1072</v>
      </c>
      <c r="G15" s="20" t="s">
        <v>1072</v>
      </c>
      <c r="H15" s="20" t="s">
        <v>1072</v>
      </c>
      <c r="I15" s="20" t="s">
        <v>947</v>
      </c>
      <c r="J15" s="20"/>
      <c r="K15" s="30" t="s">
        <v>1511</v>
      </c>
      <c r="L15" s="44" t="s">
        <v>1072</v>
      </c>
    </row>
    <row r="16" spans="1:13">
      <c r="A16" s="4"/>
      <c r="B16" s="8">
        <v>11</v>
      </c>
      <c r="C16" s="20" t="s">
        <v>37</v>
      </c>
      <c r="D16" s="20" t="s">
        <v>38</v>
      </c>
      <c r="E16" s="20" t="s">
        <v>1072</v>
      </c>
      <c r="F16" s="20" t="s">
        <v>1072</v>
      </c>
      <c r="G16" s="20" t="s">
        <v>1072</v>
      </c>
      <c r="H16" s="20" t="s">
        <v>1072</v>
      </c>
      <c r="I16" s="20" t="s">
        <v>951</v>
      </c>
      <c r="J16" s="20"/>
      <c r="K16" s="30" t="s">
        <v>1511</v>
      </c>
      <c r="L16" s="44" t="s">
        <v>1072</v>
      </c>
    </row>
    <row r="17" spans="1:14">
      <c r="A17" s="4"/>
      <c r="B17" s="8">
        <v>12</v>
      </c>
      <c r="C17" s="20" t="s">
        <v>1002</v>
      </c>
      <c r="D17" s="20" t="s">
        <v>44</v>
      </c>
      <c r="E17" s="20" t="s">
        <v>1072</v>
      </c>
      <c r="F17" s="20" t="s">
        <v>1072</v>
      </c>
      <c r="G17" s="20" t="s">
        <v>1072</v>
      </c>
      <c r="H17" s="20" t="s">
        <v>1072</v>
      </c>
      <c r="I17" s="20" t="s">
        <v>947</v>
      </c>
      <c r="J17" s="20"/>
      <c r="K17" s="30" t="s">
        <v>1511</v>
      </c>
      <c r="L17" s="44" t="s">
        <v>1072</v>
      </c>
    </row>
    <row r="18" spans="1:14">
      <c r="A18" s="4"/>
    </row>
    <row r="19" spans="1:14">
      <c r="A19" s="4"/>
    </row>
    <row r="21" spans="1:14">
      <c r="C21" s="41"/>
      <c r="D21" s="41"/>
      <c r="I21" s="41"/>
      <c r="K21" s="181"/>
      <c r="L21" s="259"/>
    </row>
    <row r="22" spans="1:14">
      <c r="C22" s="41"/>
    </row>
    <row r="26" spans="1:14">
      <c r="N26" t="str">
        <f>LOWER(C24)</f>
        <v/>
      </c>
    </row>
  </sheetData>
  <mergeCells count="8">
    <mergeCell ref="M6:M7"/>
    <mergeCell ref="D1:L1"/>
    <mergeCell ref="A2:B2"/>
    <mergeCell ref="B3:C3"/>
    <mergeCell ref="D3:G3"/>
    <mergeCell ref="H3:J3"/>
    <mergeCell ref="B4:C4"/>
    <mergeCell ref="D4:J4"/>
  </mergeCells>
  <phoneticPr fontId="1" type="noConversion"/>
  <hyperlinks>
    <hyperlink ref="B1" location="Index!A1" display="Index!A1" xr:uid="{019FD28E-E3B7-409C-B340-B76FD0E863A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8F1BA-83D9-4093-9F31-7009F77054F6}">
  <sheetPr codeName="Sheet68">
    <tabColor rgb="FFFFFF00"/>
  </sheetPr>
  <dimension ref="A1:N22"/>
  <sheetViews>
    <sheetView workbookViewId="0">
      <selection activeCell="C10" sqref="C10"/>
    </sheetView>
  </sheetViews>
  <sheetFormatPr defaultRowHeight="16.5"/>
  <cols>
    <col min="1" max="1" width="15" bestFit="1" customWidth="1"/>
    <col min="2" max="2" width="6.875" bestFit="1" customWidth="1"/>
    <col min="3" max="3" width="15.75" bestFit="1" customWidth="1"/>
    <col min="4" max="4" width="24.2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2.875" bestFit="1" customWidth="1"/>
    <col min="10" max="10" width="8.5" bestFit="1" customWidth="1"/>
    <col min="11" max="11" width="51.75" customWidth="1"/>
    <col min="12" max="12" width="36.5" bestFit="1" customWidth="1"/>
  </cols>
  <sheetData>
    <row r="1" spans="1:13" ht="20.25">
      <c r="A1" s="4"/>
      <c r="B1" s="258" t="s">
        <v>1492</v>
      </c>
      <c r="D1" s="482" t="s">
        <v>1256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83"/>
      <c r="D3" s="484" t="s">
        <v>1254</v>
      </c>
      <c r="E3" s="485"/>
      <c r="F3" s="485"/>
      <c r="G3" s="486"/>
      <c r="H3" s="485" t="s">
        <v>1530</v>
      </c>
      <c r="I3" s="485"/>
      <c r="J3" s="486"/>
      <c r="K3" s="11"/>
      <c r="L3" s="11"/>
    </row>
    <row r="4" spans="1:13">
      <c r="A4" s="4"/>
      <c r="B4" s="477" t="s">
        <v>1231</v>
      </c>
      <c r="C4" s="478"/>
      <c r="D4" s="479" t="s">
        <v>1320</v>
      </c>
      <c r="E4" s="480"/>
      <c r="F4" s="480"/>
      <c r="G4" s="480"/>
      <c r="H4" s="480"/>
      <c r="I4" s="480"/>
      <c r="J4" s="481"/>
      <c r="K4" s="11"/>
      <c r="L4" s="11"/>
    </row>
    <row r="5" spans="1:13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3">
      <c r="A6" s="4"/>
      <c r="B6" s="8">
        <v>1</v>
      </c>
      <c r="C6" s="157" t="s">
        <v>1531</v>
      </c>
      <c r="D6" s="158" t="s">
        <v>1532</v>
      </c>
      <c r="E6" s="157" t="s">
        <v>1065</v>
      </c>
      <c r="F6" s="157"/>
      <c r="G6" s="157"/>
      <c r="H6" s="157" t="s">
        <v>1065</v>
      </c>
      <c r="I6" s="157"/>
      <c r="J6" s="157"/>
      <c r="K6" s="401" t="s">
        <v>1533</v>
      </c>
      <c r="L6" s="402"/>
    </row>
    <row r="7" spans="1:13">
      <c r="A7" s="4"/>
      <c r="B7" s="8">
        <v>2</v>
      </c>
      <c r="C7" s="157" t="s">
        <v>1534</v>
      </c>
      <c r="D7" s="158" t="s">
        <v>1535</v>
      </c>
      <c r="E7" s="295"/>
      <c r="F7" s="157"/>
      <c r="G7" s="157"/>
      <c r="H7" s="157" t="s">
        <v>1065</v>
      </c>
      <c r="I7" s="157" t="s">
        <v>947</v>
      </c>
      <c r="J7" s="157">
        <v>20</v>
      </c>
      <c r="K7" s="76" t="s">
        <v>1535</v>
      </c>
      <c r="L7" s="76" t="s">
        <v>1536</v>
      </c>
      <c r="M7" s="392"/>
    </row>
    <row r="8" spans="1:13">
      <c r="A8" s="4"/>
      <c r="B8" s="8">
        <v>3</v>
      </c>
      <c r="C8" s="157" t="s">
        <v>1537</v>
      </c>
      <c r="D8" s="158" t="s">
        <v>1538</v>
      </c>
      <c r="E8" s="157" t="s">
        <v>1065</v>
      </c>
      <c r="F8" s="157"/>
      <c r="G8" s="157"/>
      <c r="H8" s="157" t="s">
        <v>1065</v>
      </c>
      <c r="I8" s="157" t="s">
        <v>947</v>
      </c>
      <c r="J8" s="157">
        <v>1</v>
      </c>
      <c r="K8" s="76" t="s">
        <v>1539</v>
      </c>
      <c r="L8" s="76"/>
      <c r="M8" s="392"/>
    </row>
    <row r="9" spans="1:13">
      <c r="A9" s="4"/>
      <c r="B9" s="8">
        <v>4</v>
      </c>
      <c r="C9" s="157" t="s">
        <v>1540</v>
      </c>
      <c r="D9" s="158" t="s">
        <v>1541</v>
      </c>
      <c r="E9" s="295"/>
      <c r="F9" s="157"/>
      <c r="G9" s="157"/>
      <c r="H9" s="157"/>
      <c r="I9" s="157" t="s">
        <v>947</v>
      </c>
      <c r="J9" s="157">
        <v>50</v>
      </c>
      <c r="K9" s="76" t="s">
        <v>1542</v>
      </c>
      <c r="L9" s="76"/>
      <c r="M9" s="392"/>
    </row>
    <row r="10" spans="1:13">
      <c r="A10" s="4"/>
      <c r="B10" s="8">
        <v>5</v>
      </c>
      <c r="C10" s="157" t="s">
        <v>1543</v>
      </c>
      <c r="D10" s="158" t="s">
        <v>1544</v>
      </c>
      <c r="E10" s="295"/>
      <c r="F10" s="157"/>
      <c r="G10" s="157"/>
      <c r="H10" s="157" t="s">
        <v>1065</v>
      </c>
      <c r="I10" s="157" t="s">
        <v>1019</v>
      </c>
      <c r="J10" s="157"/>
      <c r="K10" s="76"/>
      <c r="L10" s="76"/>
      <c r="M10" s="392"/>
    </row>
    <row r="11" spans="1:13">
      <c r="A11" s="4"/>
      <c r="B11" s="8">
        <v>6</v>
      </c>
      <c r="C11" s="20" t="s">
        <v>27</v>
      </c>
      <c r="D11" s="20" t="s">
        <v>28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951</v>
      </c>
      <c r="J11" s="20"/>
      <c r="K11" s="30" t="s">
        <v>1511</v>
      </c>
      <c r="L11" s="44" t="s">
        <v>1072</v>
      </c>
    </row>
    <row r="12" spans="1:13">
      <c r="A12" s="4"/>
      <c r="B12" s="8">
        <v>7</v>
      </c>
      <c r="C12" s="20" t="s">
        <v>33</v>
      </c>
      <c r="D12" s="20" t="s">
        <v>34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947</v>
      </c>
      <c r="J12" s="20"/>
      <c r="K12" s="30" t="s">
        <v>1511</v>
      </c>
      <c r="L12" s="44" t="s">
        <v>1072</v>
      </c>
    </row>
    <row r="13" spans="1:13">
      <c r="A13" s="4"/>
      <c r="B13" s="8">
        <v>8</v>
      </c>
      <c r="C13" s="20" t="s">
        <v>37</v>
      </c>
      <c r="D13" s="20" t="s">
        <v>38</v>
      </c>
      <c r="E13" s="20" t="s">
        <v>1072</v>
      </c>
      <c r="F13" s="20" t="s">
        <v>1072</v>
      </c>
      <c r="G13" s="20" t="s">
        <v>1072</v>
      </c>
      <c r="H13" s="20" t="s">
        <v>1072</v>
      </c>
      <c r="I13" s="20" t="s">
        <v>951</v>
      </c>
      <c r="J13" s="20"/>
      <c r="K13" s="30" t="s">
        <v>1511</v>
      </c>
      <c r="L13" s="44" t="s">
        <v>1072</v>
      </c>
    </row>
    <row r="14" spans="1:13">
      <c r="A14" s="4"/>
      <c r="B14" s="8">
        <v>9</v>
      </c>
      <c r="C14" s="20" t="s">
        <v>1002</v>
      </c>
      <c r="D14" s="20" t="s">
        <v>44</v>
      </c>
      <c r="E14" s="20" t="s">
        <v>1072</v>
      </c>
      <c r="F14" s="20" t="s">
        <v>1072</v>
      </c>
      <c r="G14" s="20" t="s">
        <v>1072</v>
      </c>
      <c r="H14" s="20" t="s">
        <v>1072</v>
      </c>
      <c r="I14" s="20" t="s">
        <v>947</v>
      </c>
      <c r="J14" s="20"/>
      <c r="K14" s="30" t="s">
        <v>1511</v>
      </c>
      <c r="L14" s="44" t="s">
        <v>1072</v>
      </c>
    </row>
    <row r="15" spans="1:13">
      <c r="A15" s="4"/>
    </row>
    <row r="17" spans="3:14">
      <c r="C17" s="41"/>
      <c r="D17" s="41"/>
      <c r="I17" s="41"/>
      <c r="K17" s="181"/>
      <c r="L17" s="259"/>
    </row>
    <row r="18" spans="3:14">
      <c r="C18" s="41"/>
    </row>
    <row r="22" spans="3:14">
      <c r="N22" t="str">
        <f>LOWER(C20)</f>
        <v/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CEEC6AB5-5179-473C-A6C0-B0E3FC4C172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DE1F3-A018-4C67-B9DB-86046BBE3771}">
  <sheetPr codeName="Sheet67">
    <tabColor rgb="FFFFFF00"/>
  </sheetPr>
  <dimension ref="A1:N22"/>
  <sheetViews>
    <sheetView workbookViewId="0">
      <selection activeCell="E22" sqref="E22"/>
    </sheetView>
  </sheetViews>
  <sheetFormatPr defaultRowHeight="16.5"/>
  <cols>
    <col min="2" max="2" width="6.875" bestFit="1" customWidth="1"/>
    <col min="3" max="3" width="15.75" bestFit="1" customWidth="1"/>
    <col min="4" max="4" width="24.25" bestFit="1" customWidth="1"/>
    <col min="5" max="5" width="3.75" bestFit="1" customWidth="1"/>
    <col min="6" max="6" width="3.75" customWidth="1"/>
    <col min="7" max="7" width="20.125" customWidth="1"/>
    <col min="8" max="8" width="10.5" bestFit="1" customWidth="1"/>
    <col min="9" max="9" width="12.875" bestFit="1" customWidth="1"/>
    <col min="10" max="10" width="8.5" bestFit="1" customWidth="1"/>
    <col min="11" max="11" width="51.75" customWidth="1"/>
    <col min="12" max="12" width="36.5" bestFit="1" customWidth="1"/>
  </cols>
  <sheetData>
    <row r="1" spans="1:13" ht="20.25">
      <c r="A1" s="4"/>
      <c r="B1" s="258" t="s">
        <v>1492</v>
      </c>
      <c r="D1" s="482" t="s">
        <v>1545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83"/>
      <c r="D3" s="484" t="s">
        <v>1257</v>
      </c>
      <c r="E3" s="485"/>
      <c r="F3" s="485"/>
      <c r="G3" s="486"/>
      <c r="H3" s="485" t="s">
        <v>1258</v>
      </c>
      <c r="I3" s="485"/>
      <c r="J3" s="486"/>
      <c r="K3" s="11"/>
      <c r="L3" s="11"/>
    </row>
    <row r="4" spans="1:13">
      <c r="A4" s="4"/>
      <c r="B4" s="477" t="s">
        <v>1231</v>
      </c>
      <c r="C4" s="478"/>
      <c r="D4" s="479" t="s">
        <v>1320</v>
      </c>
      <c r="E4" s="480"/>
      <c r="F4" s="480"/>
      <c r="G4" s="480"/>
      <c r="H4" s="480"/>
      <c r="I4" s="480"/>
      <c r="J4" s="481"/>
      <c r="K4" s="11"/>
      <c r="L4" s="11"/>
    </row>
    <row r="5" spans="1:13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3">
      <c r="A6" s="4"/>
      <c r="B6" s="8">
        <v>1</v>
      </c>
      <c r="C6" s="157" t="s">
        <v>1130</v>
      </c>
      <c r="D6" s="158" t="s">
        <v>1546</v>
      </c>
      <c r="E6" s="295" t="s">
        <v>1065</v>
      </c>
      <c r="F6" s="157"/>
      <c r="G6" s="157"/>
      <c r="H6" s="157" t="s">
        <v>1065</v>
      </c>
      <c r="I6" s="157" t="s">
        <v>947</v>
      </c>
      <c r="J6" s="157">
        <v>20</v>
      </c>
      <c r="K6" s="401"/>
      <c r="L6" s="395"/>
    </row>
    <row r="7" spans="1:13">
      <c r="A7" s="4"/>
      <c r="B7" s="8">
        <v>2</v>
      </c>
      <c r="C7" s="157" t="s">
        <v>1537</v>
      </c>
      <c r="D7" s="158" t="s">
        <v>1538</v>
      </c>
      <c r="E7" s="157" t="s">
        <v>1065</v>
      </c>
      <c r="F7" s="157"/>
      <c r="G7" s="157"/>
      <c r="H7" s="157" t="s">
        <v>1065</v>
      </c>
      <c r="I7" s="157" t="s">
        <v>947</v>
      </c>
      <c r="J7" s="157">
        <v>1</v>
      </c>
      <c r="K7" s="76" t="s">
        <v>1539</v>
      </c>
      <c r="L7" s="395"/>
    </row>
    <row r="8" spans="1:13">
      <c r="A8" s="4"/>
      <c r="B8" s="8">
        <v>3</v>
      </c>
      <c r="C8" s="157" t="s">
        <v>1531</v>
      </c>
      <c r="D8" s="158" t="s">
        <v>1532</v>
      </c>
      <c r="E8" s="16" t="s">
        <v>1065</v>
      </c>
      <c r="F8" s="295" t="s">
        <v>1065</v>
      </c>
      <c r="G8" s="157" t="s">
        <v>1547</v>
      </c>
      <c r="H8" s="157" t="s">
        <v>1065</v>
      </c>
      <c r="I8" s="157"/>
      <c r="J8" s="157"/>
      <c r="K8" s="401" t="s">
        <v>1533</v>
      </c>
      <c r="L8" s="395"/>
    </row>
    <row r="9" spans="1:13">
      <c r="A9" s="4"/>
      <c r="B9" s="8">
        <v>4</v>
      </c>
      <c r="C9" s="157" t="s">
        <v>1548</v>
      </c>
      <c r="D9" s="158" t="s">
        <v>1549</v>
      </c>
      <c r="E9" s="295"/>
      <c r="F9" s="157"/>
      <c r="G9" s="157"/>
      <c r="H9" s="157" t="s">
        <v>1065</v>
      </c>
      <c r="I9" s="157" t="s">
        <v>1019</v>
      </c>
      <c r="J9" s="157"/>
      <c r="K9" s="76" t="s">
        <v>1550</v>
      </c>
      <c r="L9" s="396"/>
      <c r="M9" s="41"/>
    </row>
    <row r="10" spans="1:13">
      <c r="A10" s="4"/>
      <c r="B10" s="8">
        <v>5</v>
      </c>
      <c r="C10" s="157" t="s">
        <v>1551</v>
      </c>
      <c r="D10" s="157" t="s">
        <v>1552</v>
      </c>
      <c r="E10" s="250"/>
      <c r="F10" s="295"/>
      <c r="G10" s="157"/>
      <c r="H10" s="157"/>
      <c r="I10" s="157" t="s">
        <v>1516</v>
      </c>
      <c r="J10" s="157">
        <v>500</v>
      </c>
      <c r="K10" s="403" t="s">
        <v>1553</v>
      </c>
      <c r="L10" s="394"/>
    </row>
    <row r="11" spans="1:13">
      <c r="A11" s="4"/>
      <c r="B11" s="8">
        <v>6</v>
      </c>
      <c r="C11" s="20" t="s">
        <v>27</v>
      </c>
      <c r="D11" s="20" t="s">
        <v>28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951</v>
      </c>
      <c r="J11" s="20"/>
      <c r="K11" s="30" t="s">
        <v>1511</v>
      </c>
      <c r="L11" s="44" t="s">
        <v>1072</v>
      </c>
    </row>
    <row r="12" spans="1:13">
      <c r="A12" s="4"/>
      <c r="B12" s="8">
        <v>7</v>
      </c>
      <c r="C12" s="20" t="s">
        <v>33</v>
      </c>
      <c r="D12" s="20" t="s">
        <v>34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947</v>
      </c>
      <c r="J12" s="20"/>
      <c r="K12" s="30" t="s">
        <v>1511</v>
      </c>
      <c r="L12" s="44" t="s">
        <v>1072</v>
      </c>
    </row>
    <row r="13" spans="1:13">
      <c r="A13" s="4"/>
      <c r="B13" s="8">
        <v>8</v>
      </c>
      <c r="C13" s="20" t="s">
        <v>37</v>
      </c>
      <c r="D13" s="20" t="s">
        <v>38</v>
      </c>
      <c r="E13" s="20" t="s">
        <v>1072</v>
      </c>
      <c r="F13" s="20" t="s">
        <v>1072</v>
      </c>
      <c r="G13" s="20" t="s">
        <v>1072</v>
      </c>
      <c r="H13" s="20" t="s">
        <v>1072</v>
      </c>
      <c r="I13" s="20" t="s">
        <v>951</v>
      </c>
      <c r="J13" s="20"/>
      <c r="K13" s="30" t="s">
        <v>1511</v>
      </c>
      <c r="L13" s="44" t="s">
        <v>1072</v>
      </c>
    </row>
    <row r="14" spans="1:13">
      <c r="A14" s="4"/>
      <c r="B14" s="8">
        <v>9</v>
      </c>
      <c r="C14" s="20" t="s">
        <v>1002</v>
      </c>
      <c r="D14" s="20" t="s">
        <v>44</v>
      </c>
      <c r="E14" s="20" t="s">
        <v>1072</v>
      </c>
      <c r="F14" s="20" t="s">
        <v>1072</v>
      </c>
      <c r="G14" s="20" t="s">
        <v>1072</v>
      </c>
      <c r="H14" s="20" t="s">
        <v>1072</v>
      </c>
      <c r="I14" s="20" t="s">
        <v>947</v>
      </c>
      <c r="J14" s="20"/>
      <c r="K14" s="30" t="s">
        <v>1511</v>
      </c>
      <c r="L14" s="44" t="s">
        <v>1072</v>
      </c>
    </row>
    <row r="15" spans="1:13">
      <c r="A15" s="4"/>
    </row>
    <row r="17" spans="3:14">
      <c r="C17" s="41"/>
      <c r="D17" s="41"/>
      <c r="I17" s="41"/>
      <c r="K17" s="181"/>
      <c r="L17" s="259"/>
    </row>
    <row r="18" spans="3:14">
      <c r="C18" s="41"/>
    </row>
    <row r="22" spans="3:14">
      <c r="N22" t="str">
        <f>LOWER(C20)</f>
        <v/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B8707754-FC91-4ADB-A682-3C161A6AEACD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EDF52-9148-4D5E-95A3-08272CDBFC59}">
  <sheetPr codeName="Sheet6">
    <tabColor rgb="FFFFFF00"/>
  </sheetPr>
  <dimension ref="A1:N30"/>
  <sheetViews>
    <sheetView workbookViewId="0">
      <selection activeCell="D15" sqref="D15:D16"/>
    </sheetView>
  </sheetViews>
  <sheetFormatPr defaultRowHeight="16.5"/>
  <cols>
    <col min="2" max="2" width="6.875" bestFit="1" customWidth="1"/>
    <col min="3" max="3" width="15.75" bestFit="1" customWidth="1"/>
    <col min="4" max="4" width="24.2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2.875" bestFit="1" customWidth="1"/>
    <col min="10" max="10" width="8.5" bestFit="1" customWidth="1"/>
    <col min="11" max="11" width="51.75" customWidth="1"/>
    <col min="12" max="12" width="36.5" bestFit="1" customWidth="1"/>
  </cols>
  <sheetData>
    <row r="1" spans="1:12" ht="20.25">
      <c r="A1" s="4"/>
      <c r="B1" s="258" t="s">
        <v>1492</v>
      </c>
      <c r="D1" s="482" t="s">
        <v>1554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83"/>
      <c r="D3" s="488" t="s">
        <v>1170</v>
      </c>
      <c r="E3" s="489"/>
      <c r="F3" s="489"/>
      <c r="G3" s="490"/>
      <c r="H3" s="485" t="s">
        <v>1555</v>
      </c>
      <c r="I3" s="485"/>
      <c r="J3" s="486"/>
      <c r="K3" s="11"/>
      <c r="L3" s="11"/>
    </row>
    <row r="4" spans="1:12">
      <c r="A4" s="4"/>
      <c r="B4" s="477" t="s">
        <v>1231</v>
      </c>
      <c r="C4" s="478"/>
      <c r="D4" s="479" t="s">
        <v>1320</v>
      </c>
      <c r="E4" s="480"/>
      <c r="F4" s="480"/>
      <c r="G4" s="480"/>
      <c r="H4" s="480"/>
      <c r="I4" s="480"/>
      <c r="J4" s="481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s="4"/>
      <c r="B6" s="8">
        <v>1</v>
      </c>
      <c r="C6" s="218" t="s">
        <v>39</v>
      </c>
      <c r="D6" s="264" t="s">
        <v>1556</v>
      </c>
      <c r="E6" s="218" t="s">
        <v>1065</v>
      </c>
      <c r="F6" s="218" t="s">
        <v>1072</v>
      </c>
      <c r="G6" s="218" t="s">
        <v>1072</v>
      </c>
      <c r="H6" s="218" t="s">
        <v>1065</v>
      </c>
      <c r="I6" s="218" t="s">
        <v>17</v>
      </c>
      <c r="J6" s="218" t="s">
        <v>1072</v>
      </c>
      <c r="K6" s="265" t="s">
        <v>1072</v>
      </c>
      <c r="L6" s="266" t="s">
        <v>1557</v>
      </c>
    </row>
    <row r="7" spans="1:12">
      <c r="A7" s="4"/>
      <c r="B7" s="8">
        <v>2</v>
      </c>
      <c r="C7" s="8" t="s">
        <v>1558</v>
      </c>
      <c r="D7" s="42" t="s">
        <v>1559</v>
      </c>
      <c r="E7" s="8" t="s">
        <v>1072</v>
      </c>
      <c r="F7" s="8" t="s">
        <v>1072</v>
      </c>
      <c r="G7" s="8" t="s">
        <v>1072</v>
      </c>
      <c r="H7" s="8" t="s">
        <v>1072</v>
      </c>
      <c r="I7" s="8" t="s">
        <v>947</v>
      </c>
      <c r="J7" s="8">
        <v>20</v>
      </c>
      <c r="K7" s="33" t="s">
        <v>1560</v>
      </c>
      <c r="L7" s="33" t="s">
        <v>1561</v>
      </c>
    </row>
    <row r="8" spans="1:12" ht="27">
      <c r="A8" s="4"/>
      <c r="B8" s="8">
        <v>3</v>
      </c>
      <c r="C8" s="8" t="s">
        <v>1562</v>
      </c>
      <c r="D8" s="8" t="s">
        <v>1563</v>
      </c>
      <c r="E8" s="8" t="s">
        <v>1072</v>
      </c>
      <c r="F8" s="8" t="s">
        <v>1072</v>
      </c>
      <c r="G8" s="8" t="s">
        <v>1072</v>
      </c>
      <c r="H8" s="8" t="s">
        <v>1072</v>
      </c>
      <c r="I8" s="8" t="s">
        <v>947</v>
      </c>
      <c r="J8" s="8">
        <v>20</v>
      </c>
      <c r="K8" s="31" t="s">
        <v>1564</v>
      </c>
      <c r="L8" s="33" t="s">
        <v>1260</v>
      </c>
    </row>
    <row r="9" spans="1:12">
      <c r="A9" s="4"/>
      <c r="B9" s="8">
        <v>4</v>
      </c>
      <c r="C9" s="8" t="s">
        <v>1565</v>
      </c>
      <c r="D9" s="8" t="s">
        <v>1566</v>
      </c>
      <c r="E9" s="8" t="s">
        <v>1072</v>
      </c>
      <c r="F9" s="358" t="s">
        <v>1065</v>
      </c>
      <c r="G9" s="8" t="s">
        <v>1567</v>
      </c>
      <c r="H9" s="8" t="s">
        <v>1072</v>
      </c>
      <c r="I9" s="8" t="s">
        <v>947</v>
      </c>
      <c r="J9" s="8">
        <v>50</v>
      </c>
      <c r="K9" s="31" t="s">
        <v>1568</v>
      </c>
      <c r="L9" s="136" t="s">
        <v>1569</v>
      </c>
    </row>
    <row r="10" spans="1:12">
      <c r="A10" s="4"/>
      <c r="B10" s="8">
        <v>5</v>
      </c>
      <c r="C10" s="8" t="s">
        <v>1570</v>
      </c>
      <c r="D10" s="8" t="s">
        <v>1571</v>
      </c>
      <c r="E10" s="8" t="s">
        <v>1072</v>
      </c>
      <c r="F10" s="8" t="s">
        <v>1072</v>
      </c>
      <c r="G10" s="8" t="s">
        <v>1072</v>
      </c>
      <c r="H10" s="8" t="s">
        <v>1072</v>
      </c>
      <c r="I10" s="8" t="s">
        <v>947</v>
      </c>
      <c r="J10" s="8">
        <v>30</v>
      </c>
      <c r="K10" s="31" t="s">
        <v>1572</v>
      </c>
      <c r="L10" s="136" t="s">
        <v>1573</v>
      </c>
    </row>
    <row r="11" spans="1:12">
      <c r="A11" s="4"/>
      <c r="B11" s="8">
        <v>6</v>
      </c>
      <c r="C11" s="8" t="s">
        <v>24</v>
      </c>
      <c r="D11" s="8" t="s">
        <v>1574</v>
      </c>
      <c r="E11" s="8" t="s">
        <v>1072</v>
      </c>
      <c r="F11" s="8" t="s">
        <v>1072</v>
      </c>
      <c r="G11" s="8" t="s">
        <v>1072</v>
      </c>
      <c r="H11" s="8" t="s">
        <v>1072</v>
      </c>
      <c r="I11" s="8" t="s">
        <v>947</v>
      </c>
      <c r="J11" s="8">
        <v>200</v>
      </c>
      <c r="K11" s="31" t="s">
        <v>1575</v>
      </c>
      <c r="L11" s="136" t="s">
        <v>1576</v>
      </c>
    </row>
    <row r="12" spans="1:12">
      <c r="A12" s="4"/>
      <c r="B12" s="8">
        <v>7</v>
      </c>
      <c r="C12" s="8" t="s">
        <v>1577</v>
      </c>
      <c r="D12" s="8" t="s">
        <v>1578</v>
      </c>
      <c r="E12" s="8" t="s">
        <v>1072</v>
      </c>
      <c r="F12" s="8" t="s">
        <v>1072</v>
      </c>
      <c r="G12" s="8" t="s">
        <v>1072</v>
      </c>
      <c r="H12" s="8" t="s">
        <v>1072</v>
      </c>
      <c r="I12" s="8" t="s">
        <v>947</v>
      </c>
      <c r="J12" s="8">
        <v>20</v>
      </c>
      <c r="K12" s="31" t="s">
        <v>1579</v>
      </c>
      <c r="L12" s="32" t="s">
        <v>1580</v>
      </c>
    </row>
    <row r="13" spans="1:12">
      <c r="A13" s="4"/>
      <c r="B13" s="8">
        <v>8</v>
      </c>
      <c r="C13" s="8" t="s">
        <v>1581</v>
      </c>
      <c r="D13" s="8" t="s">
        <v>1582</v>
      </c>
      <c r="E13" s="8" t="s">
        <v>1072</v>
      </c>
      <c r="F13" s="8" t="s">
        <v>1072</v>
      </c>
      <c r="G13" s="8" t="s">
        <v>1072</v>
      </c>
      <c r="H13" s="8" t="s">
        <v>1072</v>
      </c>
      <c r="I13" s="8" t="s">
        <v>947</v>
      </c>
      <c r="J13" s="8">
        <v>50</v>
      </c>
      <c r="K13" s="31" t="s">
        <v>1583</v>
      </c>
      <c r="L13" s="32" t="s">
        <v>39</v>
      </c>
    </row>
    <row r="14" spans="1:12">
      <c r="A14" s="4"/>
      <c r="B14" s="8">
        <v>9</v>
      </c>
      <c r="C14" s="8" t="s">
        <v>943</v>
      </c>
      <c r="D14" s="71" t="s">
        <v>73</v>
      </c>
      <c r="E14" s="8" t="s">
        <v>1072</v>
      </c>
      <c r="F14" s="8" t="s">
        <v>1072</v>
      </c>
      <c r="G14" s="8" t="s">
        <v>1072</v>
      </c>
      <c r="H14" s="8" t="s">
        <v>1072</v>
      </c>
      <c r="I14" s="8" t="s">
        <v>967</v>
      </c>
      <c r="J14" s="8" t="s">
        <v>1072</v>
      </c>
      <c r="K14" s="31" t="s">
        <v>1584</v>
      </c>
      <c r="L14" s="32">
        <v>1</v>
      </c>
    </row>
    <row r="15" spans="1:12">
      <c r="A15" s="4"/>
      <c r="B15" s="8">
        <v>10</v>
      </c>
      <c r="C15" s="8" t="s">
        <v>66</v>
      </c>
      <c r="D15" s="8" t="s">
        <v>67</v>
      </c>
      <c r="E15" s="8" t="s">
        <v>1072</v>
      </c>
      <c r="F15" s="8" t="s">
        <v>1072</v>
      </c>
      <c r="G15" s="8" t="s">
        <v>1072</v>
      </c>
      <c r="H15" s="8" t="s">
        <v>1072</v>
      </c>
      <c r="I15" s="8" t="s">
        <v>940</v>
      </c>
      <c r="J15" s="8" t="s">
        <v>1072</v>
      </c>
      <c r="K15" s="33" t="s">
        <v>67</v>
      </c>
      <c r="L15" s="32" t="b">
        <v>1</v>
      </c>
    </row>
    <row r="16" spans="1:12">
      <c r="A16" s="4"/>
      <c r="B16" s="8">
        <v>11</v>
      </c>
      <c r="C16" s="8" t="s">
        <v>1585</v>
      </c>
      <c r="D16" s="8" t="s">
        <v>1586</v>
      </c>
      <c r="E16" s="8"/>
      <c r="F16" s="8"/>
      <c r="G16" s="8"/>
      <c r="H16" s="8"/>
      <c r="I16" s="8" t="s">
        <v>1516</v>
      </c>
      <c r="J16" s="8">
        <v>100</v>
      </c>
      <c r="K16" s="33" t="s">
        <v>1586</v>
      </c>
      <c r="L16" s="32" t="s">
        <v>1587</v>
      </c>
    </row>
    <row r="17" spans="1:14">
      <c r="A17" s="4"/>
      <c r="B17" s="8">
        <v>12</v>
      </c>
      <c r="C17" s="8" t="s">
        <v>1588</v>
      </c>
      <c r="D17" s="8"/>
      <c r="E17" s="8"/>
      <c r="F17" s="8"/>
      <c r="G17" s="8"/>
      <c r="H17" s="8"/>
      <c r="I17" s="8" t="s">
        <v>1589</v>
      </c>
      <c r="J17" s="8">
        <v>30</v>
      </c>
      <c r="K17" s="33"/>
      <c r="L17" s="32"/>
    </row>
    <row r="18" spans="1:14">
      <c r="A18" s="4"/>
      <c r="B18" s="8">
        <v>13</v>
      </c>
      <c r="C18" s="20" t="s">
        <v>27</v>
      </c>
      <c r="D18" s="20" t="s">
        <v>28</v>
      </c>
      <c r="E18" s="20" t="s">
        <v>1072</v>
      </c>
      <c r="F18" s="20" t="s">
        <v>1072</v>
      </c>
      <c r="G18" s="20" t="s">
        <v>1072</v>
      </c>
      <c r="H18" s="20" t="s">
        <v>1072</v>
      </c>
      <c r="I18" s="20" t="s">
        <v>951</v>
      </c>
      <c r="J18" s="20"/>
      <c r="K18" s="30" t="s">
        <v>1511</v>
      </c>
      <c r="L18" s="44" t="s">
        <v>1072</v>
      </c>
    </row>
    <row r="19" spans="1:14">
      <c r="A19" s="4"/>
      <c r="B19" s="8">
        <v>14</v>
      </c>
      <c r="C19" s="20" t="s">
        <v>33</v>
      </c>
      <c r="D19" s="20" t="s">
        <v>34</v>
      </c>
      <c r="E19" s="20" t="s">
        <v>1072</v>
      </c>
      <c r="F19" s="20" t="s">
        <v>1072</v>
      </c>
      <c r="G19" s="20" t="s">
        <v>1072</v>
      </c>
      <c r="H19" s="20" t="s">
        <v>1072</v>
      </c>
      <c r="I19" s="20" t="s">
        <v>947</v>
      </c>
      <c r="J19" s="20"/>
      <c r="K19" s="30" t="s">
        <v>1511</v>
      </c>
      <c r="L19" s="44" t="s">
        <v>1072</v>
      </c>
    </row>
    <row r="20" spans="1:14">
      <c r="A20" s="4"/>
      <c r="B20" s="8">
        <v>15</v>
      </c>
      <c r="C20" s="20" t="s">
        <v>37</v>
      </c>
      <c r="D20" s="20" t="s">
        <v>38</v>
      </c>
      <c r="E20" s="20" t="s">
        <v>1072</v>
      </c>
      <c r="F20" s="20" t="s">
        <v>1072</v>
      </c>
      <c r="G20" s="20" t="s">
        <v>1072</v>
      </c>
      <c r="H20" s="20" t="s">
        <v>1072</v>
      </c>
      <c r="I20" s="20" t="s">
        <v>951</v>
      </c>
      <c r="J20" s="20"/>
      <c r="K20" s="30" t="s">
        <v>1511</v>
      </c>
      <c r="L20" s="44" t="s">
        <v>1072</v>
      </c>
    </row>
    <row r="21" spans="1:14">
      <c r="A21" s="4"/>
      <c r="B21" s="8">
        <v>16</v>
      </c>
      <c r="C21" s="20" t="s">
        <v>1002</v>
      </c>
      <c r="D21" s="20" t="s">
        <v>44</v>
      </c>
      <c r="E21" s="20" t="s">
        <v>1072</v>
      </c>
      <c r="F21" s="20" t="s">
        <v>1072</v>
      </c>
      <c r="G21" s="20" t="s">
        <v>1072</v>
      </c>
      <c r="H21" s="20" t="s">
        <v>1072</v>
      </c>
      <c r="I21" s="20" t="s">
        <v>947</v>
      </c>
      <c r="J21" s="20"/>
      <c r="K21" s="30" t="s">
        <v>1511</v>
      </c>
      <c r="L21" s="44" t="s">
        <v>1072</v>
      </c>
    </row>
    <row r="22" spans="1:14">
      <c r="A22" s="4"/>
    </row>
    <row r="23" spans="1:14">
      <c r="A23" s="4"/>
    </row>
    <row r="25" spans="1:14">
      <c r="C25" s="41"/>
      <c r="D25" s="41"/>
      <c r="I25" s="41"/>
      <c r="K25" s="181"/>
      <c r="L25" s="259"/>
    </row>
    <row r="26" spans="1:14">
      <c r="C26" s="41"/>
    </row>
    <row r="30" spans="1:14">
      <c r="N30" t="str">
        <f>LOWER(C28)</f>
        <v/>
      </c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F95F0515-A30F-4CFC-BAB3-E51D60A5E45B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52718-7E3C-4293-9F26-8288341B74B3}">
  <sheetPr codeName="Sheet40">
    <tabColor rgb="FFFFFF00"/>
  </sheetPr>
  <dimension ref="A1:L14"/>
  <sheetViews>
    <sheetView workbookViewId="0">
      <selection activeCell="G22" sqref="G22"/>
    </sheetView>
  </sheetViews>
  <sheetFormatPr defaultRowHeight="16.5"/>
  <cols>
    <col min="2" max="2" width="6.375" bestFit="1" customWidth="1"/>
    <col min="3" max="3" width="16.5" bestFit="1" customWidth="1"/>
    <col min="4" max="4" width="23.75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34.625" customWidth="1"/>
    <col min="12" max="12" width="39.5" bestFit="1" customWidth="1"/>
  </cols>
  <sheetData>
    <row r="1" spans="1:12" ht="20.25">
      <c r="A1" s="4"/>
      <c r="B1" s="5" t="s">
        <v>1492</v>
      </c>
      <c r="D1" s="482" t="s">
        <v>1266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1264</v>
      </c>
      <c r="E3" s="495"/>
      <c r="F3" s="495"/>
      <c r="G3" s="496"/>
      <c r="H3" s="495" t="s">
        <v>1266</v>
      </c>
      <c r="I3" s="495"/>
      <c r="J3" s="496"/>
      <c r="K3" s="11"/>
      <c r="L3" s="11"/>
    </row>
    <row r="4" spans="1:12">
      <c r="A4" s="4"/>
      <c r="B4" s="491" t="s">
        <v>1231</v>
      </c>
      <c r="C4" s="492"/>
      <c r="D4" s="493" t="s">
        <v>1320</v>
      </c>
      <c r="E4" s="493"/>
      <c r="F4" s="493"/>
      <c r="G4" s="493"/>
      <c r="H4" s="493"/>
      <c r="I4" s="493"/>
      <c r="J4" s="493"/>
      <c r="K4" s="11"/>
      <c r="L4" s="11"/>
    </row>
    <row r="5" spans="1:12">
      <c r="A5" s="4"/>
      <c r="B5" s="7" t="s">
        <v>1494</v>
      </c>
      <c r="C5" s="7" t="s">
        <v>14</v>
      </c>
      <c r="D5" s="7" t="s">
        <v>15</v>
      </c>
      <c r="E5" s="7" t="s">
        <v>928</v>
      </c>
      <c r="F5" s="7" t="s">
        <v>929</v>
      </c>
      <c r="G5" s="7" t="s">
        <v>930</v>
      </c>
      <c r="H5" s="7" t="s">
        <v>931</v>
      </c>
      <c r="I5" s="7" t="s">
        <v>932</v>
      </c>
      <c r="J5" s="7" t="s">
        <v>933</v>
      </c>
      <c r="K5" s="7" t="s">
        <v>934</v>
      </c>
      <c r="L5" s="7" t="s">
        <v>935</v>
      </c>
    </row>
    <row r="6" spans="1:12">
      <c r="A6" s="4"/>
      <c r="B6" s="8">
        <v>1</v>
      </c>
      <c r="C6" s="8" t="s">
        <v>957</v>
      </c>
      <c r="D6" s="42" t="s">
        <v>1590</v>
      </c>
      <c r="E6" s="15" t="s">
        <v>1065</v>
      </c>
      <c r="F6" s="8"/>
      <c r="G6" s="8"/>
      <c r="H6" s="8" t="s">
        <v>1065</v>
      </c>
      <c r="I6" s="14" t="s">
        <v>1591</v>
      </c>
      <c r="J6" s="8"/>
      <c r="K6" s="31"/>
      <c r="L6" s="33" t="s">
        <v>1592</v>
      </c>
    </row>
    <row r="7" spans="1:12">
      <c r="A7" s="4"/>
      <c r="B7" s="8">
        <v>2</v>
      </c>
      <c r="C7" s="8" t="s">
        <v>959</v>
      </c>
      <c r="D7" s="42" t="s">
        <v>1593</v>
      </c>
      <c r="E7" s="15"/>
      <c r="F7" s="8"/>
      <c r="G7" s="8"/>
      <c r="H7" s="263" t="s">
        <v>1065</v>
      </c>
      <c r="I7" s="14" t="s">
        <v>947</v>
      </c>
      <c r="J7" s="8">
        <v>20</v>
      </c>
      <c r="K7" s="31"/>
      <c r="L7" s="33"/>
    </row>
    <row r="8" spans="1:12">
      <c r="A8" s="4"/>
      <c r="B8" s="8">
        <v>3</v>
      </c>
      <c r="C8" s="8" t="s">
        <v>970</v>
      </c>
      <c r="D8" s="42" t="s">
        <v>1594</v>
      </c>
      <c r="E8" s="15"/>
      <c r="F8" s="8"/>
      <c r="G8" s="8"/>
      <c r="H8" s="263" t="s">
        <v>1065</v>
      </c>
      <c r="I8" s="14" t="s">
        <v>947</v>
      </c>
      <c r="J8" s="8">
        <v>20</v>
      </c>
      <c r="K8" s="31"/>
      <c r="L8" s="33"/>
    </row>
    <row r="9" spans="1:12">
      <c r="A9" s="4"/>
      <c r="B9" s="8">
        <v>4</v>
      </c>
      <c r="C9" s="8" t="s">
        <v>66</v>
      </c>
      <c r="D9" s="42" t="s">
        <v>939</v>
      </c>
      <c r="E9" s="15"/>
      <c r="F9" s="25"/>
      <c r="G9" s="8"/>
      <c r="H9" s="263" t="s">
        <v>1065</v>
      </c>
      <c r="I9" s="14" t="s">
        <v>1019</v>
      </c>
      <c r="J9" s="8"/>
      <c r="K9" s="33"/>
      <c r="L9" s="33" t="b">
        <v>1</v>
      </c>
    </row>
    <row r="10" spans="1:12">
      <c r="A10" s="4"/>
      <c r="B10" s="8">
        <v>5</v>
      </c>
      <c r="C10" s="8" t="s">
        <v>1595</v>
      </c>
      <c r="D10" s="42" t="s">
        <v>1596</v>
      </c>
      <c r="E10" s="15"/>
      <c r="F10" s="25"/>
      <c r="G10" s="8"/>
      <c r="H10" s="263" t="s">
        <v>1065</v>
      </c>
      <c r="I10" s="109" t="s">
        <v>1019</v>
      </c>
      <c r="J10" s="8"/>
      <c r="K10" s="156" t="s">
        <v>1597</v>
      </c>
      <c r="L10" s="33"/>
    </row>
    <row r="11" spans="1:12">
      <c r="A11" s="4"/>
      <c r="B11" s="8">
        <v>6</v>
      </c>
      <c r="C11" s="20" t="s">
        <v>27</v>
      </c>
      <c r="D11" s="20" t="s">
        <v>28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951</v>
      </c>
      <c r="J11" s="20"/>
      <c r="K11" s="30" t="s">
        <v>1511</v>
      </c>
      <c r="L11" s="134" t="s">
        <v>1072</v>
      </c>
    </row>
    <row r="12" spans="1:12">
      <c r="B12" s="8">
        <v>7</v>
      </c>
      <c r="C12" s="20" t="s">
        <v>33</v>
      </c>
      <c r="D12" s="20" t="s">
        <v>34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947</v>
      </c>
      <c r="J12" s="20"/>
      <c r="K12" s="30" t="s">
        <v>1511</v>
      </c>
      <c r="L12" s="134" t="s">
        <v>1072</v>
      </c>
    </row>
    <row r="13" spans="1:12">
      <c r="B13" s="8">
        <v>8</v>
      </c>
      <c r="C13" s="20" t="s">
        <v>37</v>
      </c>
      <c r="D13" s="20" t="s">
        <v>38</v>
      </c>
      <c r="E13" s="20" t="s">
        <v>1072</v>
      </c>
      <c r="F13" s="20" t="s">
        <v>1072</v>
      </c>
      <c r="G13" s="20" t="s">
        <v>1072</v>
      </c>
      <c r="H13" s="20" t="s">
        <v>1072</v>
      </c>
      <c r="I13" s="20" t="s">
        <v>951</v>
      </c>
      <c r="J13" s="20"/>
      <c r="K13" s="30" t="s">
        <v>1511</v>
      </c>
      <c r="L13" s="134" t="s">
        <v>1072</v>
      </c>
    </row>
    <row r="14" spans="1:12">
      <c r="B14" s="8">
        <v>9</v>
      </c>
      <c r="C14" s="20" t="s">
        <v>43</v>
      </c>
      <c r="D14" s="20" t="s">
        <v>44</v>
      </c>
      <c r="E14" s="20" t="s">
        <v>1072</v>
      </c>
      <c r="F14" s="20" t="s">
        <v>1072</v>
      </c>
      <c r="G14" s="20" t="s">
        <v>1072</v>
      </c>
      <c r="H14" s="20" t="s">
        <v>1072</v>
      </c>
      <c r="I14" s="20" t="s">
        <v>947</v>
      </c>
      <c r="J14" s="20"/>
      <c r="K14" s="30" t="s">
        <v>1511</v>
      </c>
      <c r="L14" s="44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73B080E2-D1E5-485D-9BE4-967B919FA58E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34139-1140-469A-9929-2255FE89DDE5}">
  <sheetPr codeName="Sheet46">
    <tabColor rgb="FFFFFF00"/>
  </sheetPr>
  <dimension ref="A1:L30"/>
  <sheetViews>
    <sheetView workbookViewId="0">
      <selection activeCell="C10" sqref="C10"/>
    </sheetView>
  </sheetViews>
  <sheetFormatPr defaultRowHeight="16.5"/>
  <cols>
    <col min="2" max="2" width="6.375" bestFit="1" customWidth="1"/>
    <col min="3" max="3" width="16.5" bestFit="1" customWidth="1"/>
    <col min="4" max="4" width="23.75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45.125" bestFit="1" customWidth="1"/>
    <col min="12" max="12" width="39.5" bestFit="1" customWidth="1"/>
  </cols>
  <sheetData>
    <row r="1" spans="1:12" ht="20.25">
      <c r="A1" s="4"/>
      <c r="B1" s="5" t="s">
        <v>1492</v>
      </c>
      <c r="D1" s="482" t="s">
        <v>1271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1598</v>
      </c>
      <c r="E3" s="495"/>
      <c r="F3" s="495"/>
      <c r="G3" s="496"/>
      <c r="H3" s="495" t="s">
        <v>1271</v>
      </c>
      <c r="I3" s="495"/>
      <c r="J3" s="496"/>
      <c r="K3" s="11"/>
      <c r="L3" s="11"/>
    </row>
    <row r="4" spans="1:12">
      <c r="A4" s="4"/>
      <c r="B4" s="491" t="s">
        <v>1231</v>
      </c>
      <c r="C4" s="492"/>
      <c r="D4" s="493" t="s">
        <v>1320</v>
      </c>
      <c r="E4" s="493"/>
      <c r="F4" s="493"/>
      <c r="G4" s="493"/>
      <c r="H4" s="493"/>
      <c r="I4" s="493"/>
      <c r="J4" s="493"/>
      <c r="K4" s="11"/>
      <c r="L4" s="11"/>
    </row>
    <row r="5" spans="1:12">
      <c r="A5" s="4"/>
      <c r="B5" s="7" t="s">
        <v>1494</v>
      </c>
      <c r="C5" s="7" t="s">
        <v>14</v>
      </c>
      <c r="D5" s="7" t="s">
        <v>15</v>
      </c>
      <c r="E5" s="7" t="s">
        <v>928</v>
      </c>
      <c r="F5" s="7" t="s">
        <v>929</v>
      </c>
      <c r="G5" s="7" t="s">
        <v>930</v>
      </c>
      <c r="H5" s="7" t="s">
        <v>931</v>
      </c>
      <c r="I5" s="7" t="s">
        <v>932</v>
      </c>
      <c r="J5" s="7" t="s">
        <v>933</v>
      </c>
      <c r="K5" s="7" t="s">
        <v>934</v>
      </c>
      <c r="L5" s="7" t="s">
        <v>935</v>
      </c>
    </row>
    <row r="6" spans="1:12">
      <c r="A6" s="4"/>
      <c r="B6" s="8">
        <v>1</v>
      </c>
      <c r="C6" s="8" t="s">
        <v>957</v>
      </c>
      <c r="D6" s="42" t="s">
        <v>1599</v>
      </c>
      <c r="E6" s="15" t="s">
        <v>1065</v>
      </c>
      <c r="F6" s="8"/>
      <c r="G6" s="8"/>
      <c r="H6" s="218" t="s">
        <v>1065</v>
      </c>
      <c r="I6" s="14" t="s">
        <v>1591</v>
      </c>
      <c r="J6" s="8"/>
      <c r="K6" s="31"/>
      <c r="L6" s="33" t="s">
        <v>1600</v>
      </c>
    </row>
    <row r="7" spans="1:12">
      <c r="A7" s="4"/>
      <c r="B7" s="8">
        <v>2</v>
      </c>
      <c r="C7" s="8" t="s">
        <v>1601</v>
      </c>
      <c r="D7" s="42" t="s">
        <v>1602</v>
      </c>
      <c r="E7" s="8"/>
      <c r="F7" s="15" t="s">
        <v>1065</v>
      </c>
      <c r="G7" s="8" t="s">
        <v>1603</v>
      </c>
      <c r="H7" s="218" t="s">
        <v>1065</v>
      </c>
      <c r="I7" s="14" t="s">
        <v>1591</v>
      </c>
      <c r="J7" s="8"/>
      <c r="K7" s="31"/>
      <c r="L7" s="33" t="s">
        <v>1604</v>
      </c>
    </row>
    <row r="8" spans="1:12">
      <c r="A8" s="4"/>
      <c r="B8" s="8">
        <v>3</v>
      </c>
      <c r="C8" s="8" t="s">
        <v>1029</v>
      </c>
      <c r="D8" s="42" t="s">
        <v>1605</v>
      </c>
      <c r="F8" s="15"/>
      <c r="G8" s="8"/>
      <c r="H8" s="263" t="s">
        <v>1262</v>
      </c>
      <c r="I8" s="8" t="s">
        <v>947</v>
      </c>
      <c r="J8" s="8">
        <v>50</v>
      </c>
      <c r="K8" s="31"/>
      <c r="L8" s="33"/>
    </row>
    <row r="9" spans="1:12">
      <c r="A9" s="4"/>
      <c r="B9" s="8">
        <v>4</v>
      </c>
      <c r="C9" s="8" t="s">
        <v>1606</v>
      </c>
      <c r="D9" s="42" t="s">
        <v>1607</v>
      </c>
      <c r="E9" s="15"/>
      <c r="F9" s="8"/>
      <c r="G9" s="8"/>
      <c r="H9" s="263" t="s">
        <v>1065</v>
      </c>
      <c r="I9" s="8" t="s">
        <v>947</v>
      </c>
      <c r="J9" s="8">
        <v>20</v>
      </c>
      <c r="K9" s="31" t="s">
        <v>1608</v>
      </c>
      <c r="L9" s="33"/>
    </row>
    <row r="10" spans="1:12">
      <c r="A10" s="4"/>
      <c r="B10" s="8">
        <v>5</v>
      </c>
      <c r="C10" s="8" t="s">
        <v>1609</v>
      </c>
      <c r="D10" s="42" t="s">
        <v>1610</v>
      </c>
      <c r="E10" s="15"/>
      <c r="F10" s="8"/>
      <c r="G10" s="8"/>
      <c r="H10" s="263" t="s">
        <v>1065</v>
      </c>
      <c r="I10" s="8" t="s">
        <v>947</v>
      </c>
      <c r="J10" s="8">
        <v>20</v>
      </c>
      <c r="K10" s="31" t="s">
        <v>1611</v>
      </c>
      <c r="L10" s="33" t="s">
        <v>1612</v>
      </c>
    </row>
    <row r="11" spans="1:12">
      <c r="A11" s="4"/>
      <c r="B11" s="8">
        <v>6</v>
      </c>
      <c r="C11" s="8" t="s">
        <v>943</v>
      </c>
      <c r="D11" s="42" t="s">
        <v>1613</v>
      </c>
      <c r="E11" s="15"/>
      <c r="F11" s="8"/>
      <c r="G11" s="8"/>
      <c r="H11" s="263" t="s">
        <v>1065</v>
      </c>
      <c r="I11" s="14" t="s">
        <v>1614</v>
      </c>
      <c r="J11" s="8"/>
      <c r="K11" s="31" t="s">
        <v>1615</v>
      </c>
      <c r="L11" s="33">
        <v>1</v>
      </c>
    </row>
    <row r="12" spans="1:12">
      <c r="A12" s="4"/>
      <c r="B12" s="8">
        <v>7</v>
      </c>
      <c r="C12" s="8" t="s">
        <v>66</v>
      </c>
      <c r="D12" s="42" t="s">
        <v>939</v>
      </c>
      <c r="E12" s="15"/>
      <c r="F12" s="25"/>
      <c r="G12" s="8"/>
      <c r="H12" s="263" t="s">
        <v>1065</v>
      </c>
      <c r="I12" s="14" t="s">
        <v>1019</v>
      </c>
      <c r="J12" s="8"/>
      <c r="K12" s="33"/>
      <c r="L12" s="33" t="b">
        <v>1</v>
      </c>
    </row>
    <row r="13" spans="1:12">
      <c r="A13" s="4"/>
      <c r="B13" s="8">
        <v>8</v>
      </c>
      <c r="C13" s="8" t="s">
        <v>1616</v>
      </c>
      <c r="D13" s="42" t="s">
        <v>1617</v>
      </c>
      <c r="E13" s="25"/>
      <c r="F13" s="25"/>
      <c r="G13" s="8"/>
      <c r="H13" s="263"/>
      <c r="I13" s="109" t="s">
        <v>1516</v>
      </c>
      <c r="J13" s="8">
        <v>20</v>
      </c>
      <c r="K13" s="33" t="s">
        <v>1618</v>
      </c>
      <c r="L13" s="33">
        <v>1</v>
      </c>
    </row>
    <row r="14" spans="1:12">
      <c r="A14" s="4"/>
      <c r="B14" s="8">
        <v>9</v>
      </c>
      <c r="C14" s="8" t="s">
        <v>1619</v>
      </c>
      <c r="D14" s="42" t="s">
        <v>1620</v>
      </c>
      <c r="E14" s="25"/>
      <c r="F14" s="25"/>
      <c r="G14" s="8"/>
      <c r="H14" s="263"/>
      <c r="I14" s="109" t="s">
        <v>1516</v>
      </c>
      <c r="J14" s="8">
        <v>20</v>
      </c>
      <c r="K14" s="33"/>
      <c r="L14" s="33">
        <v>2</v>
      </c>
    </row>
    <row r="15" spans="1:12">
      <c r="A15" s="4"/>
      <c r="B15" s="8">
        <v>10</v>
      </c>
      <c r="C15" s="8" t="s">
        <v>1540</v>
      </c>
      <c r="D15" s="42" t="s">
        <v>1621</v>
      </c>
      <c r="E15" s="25"/>
      <c r="F15" s="25"/>
      <c r="G15" s="8"/>
      <c r="H15" s="263"/>
      <c r="I15" s="109" t="s">
        <v>1516</v>
      </c>
      <c r="J15" s="8">
        <v>100</v>
      </c>
      <c r="K15" s="33" t="s">
        <v>1622</v>
      </c>
      <c r="L15" s="33" t="s">
        <v>1623</v>
      </c>
    </row>
    <row r="16" spans="1:12">
      <c r="A16" s="4"/>
      <c r="B16" s="8">
        <v>11</v>
      </c>
      <c r="C16" s="8" t="s">
        <v>1624</v>
      </c>
      <c r="D16" s="42" t="s">
        <v>1625</v>
      </c>
      <c r="E16" s="25"/>
      <c r="F16" s="25"/>
      <c r="G16" s="8"/>
      <c r="H16" s="263"/>
      <c r="I16" s="109" t="s">
        <v>17</v>
      </c>
      <c r="J16" s="8"/>
      <c r="K16" s="33" t="s">
        <v>1626</v>
      </c>
      <c r="L16" s="33" t="s">
        <v>1627</v>
      </c>
    </row>
    <row r="17" spans="1:12">
      <c r="A17" s="4"/>
      <c r="B17" s="8">
        <v>12</v>
      </c>
      <c r="C17" s="8" t="s">
        <v>1628</v>
      </c>
      <c r="D17" s="42" t="s">
        <v>1629</v>
      </c>
      <c r="E17" s="25"/>
      <c r="F17" s="25"/>
      <c r="G17" s="8"/>
      <c r="H17" s="263"/>
      <c r="I17" s="109" t="s">
        <v>17</v>
      </c>
      <c r="J17" s="8"/>
      <c r="K17" s="33"/>
      <c r="L17" s="33" t="s">
        <v>1630</v>
      </c>
    </row>
    <row r="18" spans="1:12">
      <c r="B18" s="8">
        <v>13</v>
      </c>
      <c r="C18" s="20" t="s">
        <v>27</v>
      </c>
      <c r="D18" s="20" t="s">
        <v>28</v>
      </c>
      <c r="E18" s="20" t="s">
        <v>1072</v>
      </c>
      <c r="F18" s="20" t="s">
        <v>1072</v>
      </c>
      <c r="G18" s="20" t="s">
        <v>1072</v>
      </c>
      <c r="H18" s="20" t="s">
        <v>1072</v>
      </c>
      <c r="I18" s="20" t="s">
        <v>951</v>
      </c>
      <c r="J18" s="20"/>
      <c r="K18" s="30" t="s">
        <v>1511</v>
      </c>
      <c r="L18" s="44" t="s">
        <v>1072</v>
      </c>
    </row>
    <row r="19" spans="1:12">
      <c r="B19" s="8">
        <v>14</v>
      </c>
      <c r="C19" s="20" t="s">
        <v>33</v>
      </c>
      <c r="D19" s="20" t="s">
        <v>34</v>
      </c>
      <c r="E19" s="20" t="s">
        <v>1072</v>
      </c>
      <c r="F19" s="20" t="s">
        <v>1072</v>
      </c>
      <c r="G19" s="20" t="s">
        <v>1072</v>
      </c>
      <c r="H19" s="20" t="s">
        <v>1072</v>
      </c>
      <c r="I19" s="20" t="s">
        <v>947</v>
      </c>
      <c r="J19" s="20"/>
      <c r="K19" s="30" t="s">
        <v>1511</v>
      </c>
      <c r="L19" s="44" t="s">
        <v>1072</v>
      </c>
    </row>
    <row r="20" spans="1:12">
      <c r="B20" s="8">
        <v>15</v>
      </c>
      <c r="C20" s="20" t="s">
        <v>37</v>
      </c>
      <c r="D20" s="20" t="s">
        <v>38</v>
      </c>
      <c r="E20" s="20" t="s">
        <v>1072</v>
      </c>
      <c r="F20" s="20" t="s">
        <v>1072</v>
      </c>
      <c r="G20" s="20" t="s">
        <v>1072</v>
      </c>
      <c r="H20" s="20" t="s">
        <v>1072</v>
      </c>
      <c r="I20" s="20" t="s">
        <v>951</v>
      </c>
      <c r="J20" s="20"/>
      <c r="K20" s="30" t="s">
        <v>1511</v>
      </c>
      <c r="L20" s="44" t="s">
        <v>1072</v>
      </c>
    </row>
    <row r="21" spans="1:12">
      <c r="B21" s="8">
        <v>16</v>
      </c>
      <c r="C21" s="20" t="s">
        <v>43</v>
      </c>
      <c r="D21" s="20" t="s">
        <v>44</v>
      </c>
      <c r="E21" s="20" t="s">
        <v>1072</v>
      </c>
      <c r="F21" s="20" t="s">
        <v>1072</v>
      </c>
      <c r="G21" s="20" t="s">
        <v>1072</v>
      </c>
      <c r="H21" s="20" t="s">
        <v>1072</v>
      </c>
      <c r="I21" s="20" t="s">
        <v>947</v>
      </c>
      <c r="J21" s="20"/>
      <c r="K21" s="30" t="s">
        <v>1511</v>
      </c>
      <c r="L21" s="44" t="s">
        <v>1072</v>
      </c>
    </row>
    <row r="25" spans="1:12">
      <c r="B25" s="497" t="s">
        <v>1631</v>
      </c>
      <c r="C25" s="497"/>
      <c r="D25" s="497"/>
      <c r="E25" s="497"/>
      <c r="F25" s="497"/>
      <c r="G25" s="497"/>
    </row>
    <row r="26" spans="1:12">
      <c r="B26" t="s">
        <v>1632</v>
      </c>
      <c r="G26" s="233"/>
    </row>
    <row r="27" spans="1:12">
      <c r="B27" t="s">
        <v>1633</v>
      </c>
    </row>
    <row r="28" spans="1:12">
      <c r="B28" t="s">
        <v>1634</v>
      </c>
    </row>
    <row r="29" spans="1:12">
      <c r="B29" t="s">
        <v>1635</v>
      </c>
    </row>
    <row r="30" spans="1:12">
      <c r="B30" t="s">
        <v>1636</v>
      </c>
    </row>
  </sheetData>
  <mergeCells count="8">
    <mergeCell ref="B25:G25"/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736241F1-1008-40F8-BCDB-4BECB037D88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A8F70-C3F0-4C1B-9CF1-9D554F1718CA}">
  <sheetPr codeName="Sheet7">
    <tabColor rgb="FFFFFF00"/>
  </sheetPr>
  <dimension ref="A1:N13"/>
  <sheetViews>
    <sheetView workbookViewId="0">
      <selection activeCell="D9" sqref="D9"/>
    </sheetView>
  </sheetViews>
  <sheetFormatPr defaultRowHeight="16.5"/>
  <cols>
    <col min="2" max="2" width="6.875" bestFit="1" customWidth="1"/>
    <col min="3" max="3" width="17.5" bestFit="1" customWidth="1"/>
    <col min="4" max="4" width="19.8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1" width="44.625" customWidth="1"/>
    <col min="12" max="12" width="34.625" customWidth="1"/>
    <col min="13" max="13" width="59.75" customWidth="1"/>
  </cols>
  <sheetData>
    <row r="1" spans="1:14" ht="20.25">
      <c r="A1" s="4"/>
      <c r="B1" s="258" t="s">
        <v>1492</v>
      </c>
      <c r="D1" s="482" t="s">
        <v>1637</v>
      </c>
      <c r="E1" s="482"/>
      <c r="F1" s="482"/>
      <c r="G1" s="482"/>
      <c r="H1" s="482"/>
      <c r="I1" s="482"/>
      <c r="J1" s="482"/>
      <c r="K1" s="482"/>
      <c r="L1" s="482"/>
    </row>
    <row r="2" spans="1:14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4">
      <c r="A3" s="4"/>
      <c r="B3" s="483" t="s">
        <v>1493</v>
      </c>
      <c r="C3" s="494"/>
      <c r="D3" s="494" t="s">
        <v>1638</v>
      </c>
      <c r="E3" s="495"/>
      <c r="F3" s="495"/>
      <c r="G3" s="496"/>
      <c r="H3" s="495" t="s">
        <v>1639</v>
      </c>
      <c r="I3" s="495"/>
      <c r="J3" s="496"/>
      <c r="K3" s="11"/>
      <c r="L3" s="11"/>
    </row>
    <row r="4" spans="1:14">
      <c r="A4" s="4"/>
      <c r="B4" s="483" t="s">
        <v>1231</v>
      </c>
      <c r="C4" s="494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4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4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4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4">
      <c r="A8" s="4"/>
      <c r="B8" s="8">
        <v>3</v>
      </c>
      <c r="C8" s="218" t="s">
        <v>18</v>
      </c>
      <c r="D8" s="42" t="s">
        <v>19</v>
      </c>
      <c r="E8" s="25" t="s">
        <v>1065</v>
      </c>
      <c r="F8" s="8"/>
      <c r="G8" s="8"/>
      <c r="H8" s="25" t="s">
        <v>1065</v>
      </c>
      <c r="I8" s="8" t="s">
        <v>947</v>
      </c>
      <c r="J8" s="8">
        <v>10</v>
      </c>
      <c r="K8" s="139"/>
      <c r="L8" s="138" t="s">
        <v>1641</v>
      </c>
    </row>
    <row r="9" spans="1:14">
      <c r="A9" s="4"/>
      <c r="B9" s="8">
        <v>4</v>
      </c>
      <c r="C9" s="218" t="s">
        <v>20</v>
      </c>
      <c r="D9" s="42" t="s">
        <v>21</v>
      </c>
      <c r="E9" s="25" t="s">
        <v>1065</v>
      </c>
      <c r="F9" s="8"/>
      <c r="G9" s="8"/>
      <c r="H9" s="25" t="s">
        <v>1065</v>
      </c>
      <c r="I9" s="8" t="s">
        <v>947</v>
      </c>
      <c r="J9" s="8">
        <v>24</v>
      </c>
      <c r="K9" s="139"/>
      <c r="L9" s="138"/>
    </row>
    <row r="10" spans="1:14">
      <c r="A10" s="4"/>
      <c r="B10" s="8">
        <v>5</v>
      </c>
      <c r="C10" s="218" t="s">
        <v>970</v>
      </c>
      <c r="D10" s="42" t="s">
        <v>1642</v>
      </c>
      <c r="E10" s="8"/>
      <c r="F10" s="8"/>
      <c r="G10" s="8"/>
      <c r="H10" s="8"/>
      <c r="I10" s="8" t="s">
        <v>947</v>
      </c>
      <c r="J10" s="8">
        <v>40</v>
      </c>
      <c r="K10" s="31"/>
      <c r="L10" s="33"/>
    </row>
    <row r="11" spans="1:14">
      <c r="K11" s="1"/>
      <c r="L11" s="1"/>
    </row>
    <row r="13" spans="1:14">
      <c r="N13" t="str">
        <f>LOWER(C11)</f>
        <v/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1557FE40-0867-4F88-86A2-D87DA0963A22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D6BB3-36E3-48FA-A837-58BBB971DB06}">
  <sheetPr codeName="Sheet9">
    <tabColor rgb="FFFFFF00"/>
  </sheetPr>
  <dimension ref="A1:N18"/>
  <sheetViews>
    <sheetView workbookViewId="0">
      <selection activeCell="D9" sqref="D9"/>
    </sheetView>
  </sheetViews>
  <sheetFormatPr defaultRowHeight="16.5"/>
  <cols>
    <col min="2" max="2" width="6.875" bestFit="1" customWidth="1"/>
    <col min="3" max="4" width="25.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4" ht="20.25">
      <c r="A1" s="4"/>
      <c r="B1" s="258" t="s">
        <v>1492</v>
      </c>
      <c r="D1" s="482" t="s">
        <v>1643</v>
      </c>
      <c r="E1" s="482"/>
      <c r="F1" s="482"/>
      <c r="G1" s="482"/>
      <c r="H1" s="482"/>
      <c r="I1" s="482"/>
      <c r="J1" s="482"/>
      <c r="K1" s="482"/>
      <c r="L1" s="482"/>
    </row>
    <row r="2" spans="1:14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4">
      <c r="A3" s="4"/>
      <c r="B3" s="483" t="s">
        <v>1493</v>
      </c>
      <c r="C3" s="494"/>
      <c r="D3" s="494" t="s">
        <v>1644</v>
      </c>
      <c r="E3" s="495"/>
      <c r="F3" s="495"/>
      <c r="G3" s="496"/>
      <c r="H3" s="495" t="s">
        <v>1293</v>
      </c>
      <c r="I3" s="495"/>
      <c r="J3" s="496"/>
      <c r="K3" s="11"/>
      <c r="L3" s="11"/>
    </row>
    <row r="4" spans="1:14">
      <c r="A4" s="4"/>
      <c r="B4" s="483" t="s">
        <v>1231</v>
      </c>
      <c r="C4" s="494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4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4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4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4">
      <c r="A8" s="4"/>
      <c r="B8" s="8">
        <v>3</v>
      </c>
      <c r="C8" s="8" t="s">
        <v>1645</v>
      </c>
      <c r="D8" s="8" t="s">
        <v>1645</v>
      </c>
      <c r="E8" s="25"/>
      <c r="F8" s="8"/>
      <c r="G8" s="8"/>
      <c r="H8" s="25"/>
      <c r="I8" s="8" t="s">
        <v>947</v>
      </c>
      <c r="J8" s="8">
        <v>24</v>
      </c>
      <c r="K8" s="139"/>
      <c r="L8" s="138" t="s">
        <v>1646</v>
      </c>
    </row>
    <row r="9" spans="1:14">
      <c r="A9" s="4"/>
      <c r="B9" s="8">
        <v>4</v>
      </c>
      <c r="C9" s="218" t="s">
        <v>20</v>
      </c>
      <c r="D9" s="42" t="s">
        <v>21</v>
      </c>
      <c r="E9" s="25"/>
      <c r="F9" s="8"/>
      <c r="G9" s="8"/>
      <c r="H9" s="25" t="s">
        <v>1065</v>
      </c>
      <c r="I9" s="8" t="s">
        <v>947</v>
      </c>
      <c r="J9" s="8">
        <v>24</v>
      </c>
      <c r="K9" s="139"/>
      <c r="L9" s="138"/>
    </row>
    <row r="10" spans="1:14">
      <c r="A10" s="4"/>
      <c r="B10" s="8">
        <v>5</v>
      </c>
      <c r="C10" s="218" t="s">
        <v>970</v>
      </c>
      <c r="D10" s="15" t="s">
        <v>24</v>
      </c>
      <c r="E10" s="8"/>
      <c r="F10" s="8"/>
      <c r="G10" s="8"/>
      <c r="H10" s="8"/>
      <c r="I10" s="8" t="s">
        <v>947</v>
      </c>
      <c r="J10" s="8">
        <v>40</v>
      </c>
      <c r="K10" s="31"/>
      <c r="L10" s="33"/>
    </row>
    <row r="11" spans="1:14">
      <c r="A11" s="4"/>
      <c r="B11" s="8">
        <v>6</v>
      </c>
      <c r="C11" s="218" t="s">
        <v>1647</v>
      </c>
      <c r="D11" s="42" t="s">
        <v>30</v>
      </c>
      <c r="E11" s="8"/>
      <c r="F11" s="8"/>
      <c r="G11" s="8"/>
      <c r="H11" s="63" t="s">
        <v>1065</v>
      </c>
      <c r="I11" s="202" t="s">
        <v>1019</v>
      </c>
      <c r="J11" s="8"/>
      <c r="K11" s="33"/>
      <c r="L11" s="205" t="b">
        <v>1</v>
      </c>
    </row>
    <row r="16" spans="1:14">
      <c r="N16" t="str">
        <f>LOWER(C14)</f>
        <v/>
      </c>
    </row>
    <row r="17" spans="14:14">
      <c r="N17" t="str">
        <f>LOWER(C15)</f>
        <v/>
      </c>
    </row>
    <row r="18" spans="14:14">
      <c r="N18" t="str">
        <f>LOWER(C16)</f>
        <v/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F71AF354-2339-4276-A740-A608FE3FED3A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B64B2-A013-4779-A664-5999ABB5E8AA}">
  <sheetPr codeName="Sheet8">
    <tabColor rgb="FFFFFF00"/>
  </sheetPr>
  <dimension ref="A1:N16"/>
  <sheetViews>
    <sheetView workbookViewId="0">
      <selection activeCell="D8" sqref="D8"/>
    </sheetView>
  </sheetViews>
  <sheetFormatPr defaultRowHeight="16.5"/>
  <cols>
    <col min="2" max="2" width="6.875" bestFit="1" customWidth="1"/>
    <col min="3" max="3" width="16.125" bestFit="1" customWidth="1"/>
    <col min="4" max="4" width="19.8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4" ht="20.25">
      <c r="A1" s="4"/>
      <c r="B1" s="258" t="s">
        <v>1492</v>
      </c>
      <c r="D1" s="482" t="s">
        <v>1648</v>
      </c>
      <c r="E1" s="482"/>
      <c r="F1" s="482"/>
      <c r="G1" s="482"/>
      <c r="H1" s="482"/>
      <c r="I1" s="482"/>
      <c r="J1" s="482"/>
      <c r="K1" s="482"/>
      <c r="L1" s="482"/>
    </row>
    <row r="2" spans="1:14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4">
      <c r="A3" s="4"/>
      <c r="B3" s="483" t="s">
        <v>1493</v>
      </c>
      <c r="C3" s="494"/>
      <c r="D3" s="494" t="s">
        <v>4</v>
      </c>
      <c r="E3" s="495"/>
      <c r="F3" s="495"/>
      <c r="G3" s="496"/>
      <c r="H3" s="495" t="s">
        <v>1649</v>
      </c>
      <c r="I3" s="495"/>
      <c r="J3" s="496"/>
      <c r="K3" s="11"/>
      <c r="L3" s="11"/>
    </row>
    <row r="4" spans="1:14">
      <c r="A4" s="4"/>
      <c r="B4" s="483" t="s">
        <v>1231</v>
      </c>
      <c r="C4" s="494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4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4">
      <c r="A6" t="s">
        <v>1650</v>
      </c>
      <c r="B6" s="8">
        <v>1</v>
      </c>
      <c r="C6" s="8" t="s">
        <v>1515</v>
      </c>
      <c r="D6" s="42" t="s">
        <v>1546</v>
      </c>
      <c r="E6" s="8" t="s">
        <v>1065</v>
      </c>
      <c r="F6" s="8"/>
      <c r="G6" s="8"/>
      <c r="H6" s="8" t="s">
        <v>1065</v>
      </c>
      <c r="I6" s="8" t="s">
        <v>947</v>
      </c>
      <c r="J6" s="8">
        <v>20</v>
      </c>
      <c r="K6" s="262"/>
      <c r="L6" s="138"/>
    </row>
    <row r="7" spans="1:14">
      <c r="A7" s="4"/>
      <c r="B7" s="8">
        <v>2</v>
      </c>
      <c r="C7" s="8" t="s">
        <v>4</v>
      </c>
      <c r="D7" s="42" t="s">
        <v>19</v>
      </c>
      <c r="E7" s="25" t="s">
        <v>1065</v>
      </c>
      <c r="F7" s="8"/>
      <c r="G7" s="8"/>
      <c r="H7" s="25" t="s">
        <v>1065</v>
      </c>
      <c r="I7" s="8" t="s">
        <v>947</v>
      </c>
      <c r="J7" s="8">
        <v>10</v>
      </c>
      <c r="K7" s="139"/>
      <c r="L7" s="138" t="s">
        <v>1641</v>
      </c>
    </row>
    <row r="8" spans="1:14">
      <c r="A8" s="4"/>
      <c r="B8" s="8">
        <v>3</v>
      </c>
      <c r="C8" s="8" t="s">
        <v>20</v>
      </c>
      <c r="D8" s="42" t="s">
        <v>21</v>
      </c>
      <c r="E8" s="25" t="s">
        <v>1065</v>
      </c>
      <c r="F8" s="8"/>
      <c r="G8" s="8"/>
      <c r="H8" s="25" t="s">
        <v>1065</v>
      </c>
      <c r="I8" s="8" t="s">
        <v>947</v>
      </c>
      <c r="J8" s="8">
        <v>24</v>
      </c>
      <c r="K8" s="139"/>
      <c r="L8" s="138"/>
    </row>
    <row r="9" spans="1:14">
      <c r="A9" s="4"/>
      <c r="B9" s="8">
        <v>4</v>
      </c>
      <c r="C9" s="8" t="s">
        <v>1029</v>
      </c>
      <c r="D9" s="42" t="s">
        <v>1651</v>
      </c>
      <c r="E9" s="8"/>
      <c r="F9" s="8"/>
      <c r="G9" s="8"/>
      <c r="H9" s="8"/>
      <c r="I9" s="8" t="s">
        <v>947</v>
      </c>
      <c r="J9" s="8">
        <v>40</v>
      </c>
      <c r="K9" s="31"/>
      <c r="L9" s="33"/>
    </row>
    <row r="10" spans="1:14">
      <c r="B10" s="8">
        <v>5</v>
      </c>
      <c r="C10" s="20" t="s">
        <v>27</v>
      </c>
      <c r="D10" s="20" t="s">
        <v>28</v>
      </c>
      <c r="E10" s="20" t="s">
        <v>1072</v>
      </c>
      <c r="F10" s="20" t="s">
        <v>1072</v>
      </c>
      <c r="G10" s="20" t="s">
        <v>1072</v>
      </c>
      <c r="H10" s="20" t="s">
        <v>1072</v>
      </c>
      <c r="I10" s="20" t="s">
        <v>951</v>
      </c>
      <c r="J10" s="20"/>
      <c r="K10" s="30" t="s">
        <v>1511</v>
      </c>
      <c r="L10" s="134" t="s">
        <v>1072</v>
      </c>
    </row>
    <row r="11" spans="1:14">
      <c r="B11" s="8">
        <v>6</v>
      </c>
      <c r="C11" s="20" t="s">
        <v>33</v>
      </c>
      <c r="D11" s="20" t="s">
        <v>34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947</v>
      </c>
      <c r="J11" s="20"/>
      <c r="K11" s="30" t="s">
        <v>1511</v>
      </c>
      <c r="L11" s="134" t="s">
        <v>1072</v>
      </c>
    </row>
    <row r="12" spans="1:14">
      <c r="B12" s="8">
        <v>7</v>
      </c>
      <c r="C12" s="20" t="s">
        <v>37</v>
      </c>
      <c r="D12" s="20" t="s">
        <v>38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951</v>
      </c>
      <c r="J12" s="20"/>
      <c r="K12" s="30" t="s">
        <v>1511</v>
      </c>
      <c r="L12" s="134" t="s">
        <v>1072</v>
      </c>
    </row>
    <row r="13" spans="1:14">
      <c r="B13" s="8">
        <v>8</v>
      </c>
      <c r="C13" s="20" t="s">
        <v>43</v>
      </c>
      <c r="D13" s="20" t="s">
        <v>44</v>
      </c>
      <c r="E13" s="20" t="s">
        <v>1072</v>
      </c>
      <c r="F13" s="20" t="s">
        <v>1072</v>
      </c>
      <c r="G13" s="20" t="s">
        <v>1072</v>
      </c>
      <c r="H13" s="20" t="s">
        <v>1072</v>
      </c>
      <c r="I13" s="20" t="s">
        <v>947</v>
      </c>
      <c r="J13" s="20"/>
      <c r="K13" s="30" t="s">
        <v>1511</v>
      </c>
      <c r="L13" s="134" t="s">
        <v>1072</v>
      </c>
    </row>
    <row r="14" spans="1:14">
      <c r="K14" s="1"/>
      <c r="L14" s="1"/>
    </row>
    <row r="16" spans="1:14">
      <c r="N16" t="str">
        <f>LOWER(C14)</f>
        <v/>
      </c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dataValidations count="1">
    <dataValidation type="custom" allowBlank="1" showInputMessage="1" showErrorMessage="1" errorTitle="중복 발생" error="이미 있는 값 입니다." sqref="D8" xr:uid="{812C6D99-6C8F-4C8A-9F40-6CDD4131CFEA}">
      <formula1>COUNTIF($B:$B, D8)=1</formula1>
    </dataValidation>
  </dataValidations>
  <hyperlinks>
    <hyperlink ref="B1" location="Index!A1" display="Index!A1" xr:uid="{DCA00481-C542-4365-8C58-FF50E06E99B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4A8D6-ED20-468F-B2AF-88AA8E4E0286}">
  <sheetPr codeName="Sheet10">
    <tabColor rgb="FFFFFF00"/>
  </sheetPr>
  <dimension ref="A1:N22"/>
  <sheetViews>
    <sheetView workbookViewId="0">
      <selection activeCell="D8" sqref="D8"/>
    </sheetView>
  </sheetViews>
  <sheetFormatPr defaultRowHeight="16.5"/>
  <cols>
    <col min="2" max="2" width="6.875" bestFit="1" customWidth="1"/>
    <col min="3" max="3" width="16.5" bestFit="1" customWidth="1"/>
    <col min="4" max="4" width="19.8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2" ht="20.25">
      <c r="A1" s="4"/>
      <c r="B1" s="258" t="s">
        <v>1492</v>
      </c>
      <c r="D1" s="482" t="s">
        <v>1652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6</v>
      </c>
      <c r="E3" s="495"/>
      <c r="F3" s="495"/>
      <c r="G3" s="496"/>
      <c r="H3" s="495" t="s">
        <v>7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t="s">
        <v>1650</v>
      </c>
      <c r="B6" s="8">
        <v>1</v>
      </c>
      <c r="C6" s="8" t="s">
        <v>1515</v>
      </c>
      <c r="D6" s="42" t="s">
        <v>1546</v>
      </c>
      <c r="E6" s="8" t="s">
        <v>1065</v>
      </c>
      <c r="F6" s="8"/>
      <c r="G6" s="8"/>
      <c r="H6" s="8" t="s">
        <v>1065</v>
      </c>
      <c r="I6" s="8" t="s">
        <v>947</v>
      </c>
      <c r="J6" s="8">
        <v>20</v>
      </c>
      <c r="K6" s="139"/>
      <c r="L6" s="138"/>
    </row>
    <row r="7" spans="1:12">
      <c r="A7" s="4"/>
      <c r="B7" s="8">
        <v>2</v>
      </c>
      <c r="C7" s="8" t="s">
        <v>6</v>
      </c>
      <c r="D7" s="406" t="s">
        <v>21</v>
      </c>
      <c r="E7" s="25" t="s">
        <v>1065</v>
      </c>
      <c r="F7" s="8"/>
      <c r="G7" s="8"/>
      <c r="H7" s="25" t="s">
        <v>1065</v>
      </c>
      <c r="I7" s="8" t="s">
        <v>947</v>
      </c>
      <c r="J7" s="8">
        <v>24</v>
      </c>
      <c r="K7" s="139"/>
      <c r="L7" s="138"/>
    </row>
    <row r="8" spans="1:12">
      <c r="A8" s="4"/>
      <c r="B8" s="8">
        <v>3</v>
      </c>
      <c r="C8" s="8" t="s">
        <v>970</v>
      </c>
      <c r="D8" s="48" t="s">
        <v>1653</v>
      </c>
      <c r="E8" s="8"/>
      <c r="F8" s="8"/>
      <c r="G8" s="8"/>
      <c r="H8" s="8"/>
      <c r="I8" s="8" t="s">
        <v>947</v>
      </c>
      <c r="J8" s="8">
        <v>40</v>
      </c>
      <c r="K8" s="31"/>
      <c r="L8" s="33"/>
    </row>
    <row r="9" spans="1:12">
      <c r="A9" s="4"/>
      <c r="B9" s="8">
        <v>4</v>
      </c>
      <c r="C9" s="8" t="s">
        <v>1647</v>
      </c>
      <c r="D9" s="408" t="s">
        <v>30</v>
      </c>
      <c r="E9" s="8"/>
      <c r="F9" s="8"/>
      <c r="G9" s="8"/>
      <c r="H9" s="429" t="s">
        <v>1065</v>
      </c>
      <c r="I9" s="8" t="s">
        <v>940</v>
      </c>
      <c r="J9" s="8"/>
      <c r="K9" s="33" t="s">
        <v>1654</v>
      </c>
      <c r="L9" s="33"/>
    </row>
    <row r="10" spans="1:12">
      <c r="A10" s="4"/>
      <c r="B10" s="8">
        <v>5</v>
      </c>
      <c r="C10" s="20" t="s">
        <v>27</v>
      </c>
      <c r="D10" s="409" t="s">
        <v>28</v>
      </c>
      <c r="E10" s="20" t="s">
        <v>1072</v>
      </c>
      <c r="F10" s="20" t="s">
        <v>1072</v>
      </c>
      <c r="G10" s="20" t="s">
        <v>1072</v>
      </c>
      <c r="H10" s="20" t="s">
        <v>1072</v>
      </c>
      <c r="I10" s="20" t="s">
        <v>951</v>
      </c>
      <c r="J10" s="20"/>
      <c r="K10" s="30" t="s">
        <v>1511</v>
      </c>
      <c r="L10" s="134" t="s">
        <v>1072</v>
      </c>
    </row>
    <row r="11" spans="1:12">
      <c r="A11" s="4"/>
      <c r="B11" s="8">
        <v>6</v>
      </c>
      <c r="C11" s="20" t="s">
        <v>33</v>
      </c>
      <c r="D11" s="409" t="s">
        <v>34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947</v>
      </c>
      <c r="J11" s="20"/>
      <c r="K11" s="30" t="s">
        <v>1511</v>
      </c>
      <c r="L11" s="134" t="s">
        <v>1072</v>
      </c>
    </row>
    <row r="12" spans="1:12">
      <c r="A12" s="4"/>
      <c r="B12" s="8">
        <v>7</v>
      </c>
      <c r="C12" s="20" t="s">
        <v>37</v>
      </c>
      <c r="D12" s="409" t="s">
        <v>38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951</v>
      </c>
      <c r="J12" s="20"/>
      <c r="K12" s="30" t="s">
        <v>1511</v>
      </c>
      <c r="L12" s="134" t="s">
        <v>1072</v>
      </c>
    </row>
    <row r="13" spans="1:12">
      <c r="A13" s="4"/>
      <c r="B13" s="8">
        <v>8</v>
      </c>
      <c r="C13" s="20" t="s">
        <v>43</v>
      </c>
      <c r="D13" s="409" t="s">
        <v>44</v>
      </c>
      <c r="E13" s="20" t="s">
        <v>1072</v>
      </c>
      <c r="F13" s="20" t="s">
        <v>1072</v>
      </c>
      <c r="G13" s="20" t="s">
        <v>1072</v>
      </c>
      <c r="H13" s="20" t="s">
        <v>1072</v>
      </c>
      <c r="I13" s="20" t="s">
        <v>947</v>
      </c>
      <c r="J13" s="20"/>
      <c r="K13" s="30" t="s">
        <v>1511</v>
      </c>
      <c r="L13" s="134" t="s">
        <v>1072</v>
      </c>
    </row>
    <row r="14" spans="1:12">
      <c r="D14" s="404"/>
    </row>
    <row r="15" spans="1:12">
      <c r="D15" s="404"/>
    </row>
    <row r="16" spans="1:12">
      <c r="D16" s="404"/>
    </row>
    <row r="17" spans="4:14">
      <c r="D17" s="404"/>
    </row>
    <row r="18" spans="4:14">
      <c r="D18" s="404"/>
      <c r="N18" t="str">
        <f>LOWER(C16)</f>
        <v/>
      </c>
    </row>
    <row r="19" spans="4:14">
      <c r="D19" s="404"/>
      <c r="N19" t="str">
        <f>LOWER(C17)</f>
        <v/>
      </c>
    </row>
    <row r="20" spans="4:14">
      <c r="D20" s="404"/>
      <c r="N20" t="str">
        <f>LOWER(C18)</f>
        <v/>
      </c>
    </row>
    <row r="21" spans="4:14">
      <c r="D21" s="404"/>
    </row>
    <row r="22" spans="4:14">
      <c r="D22" s="404"/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C9C197FA-9315-43C2-93AA-CFD1C25D7F64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4F326-FA55-43F2-B6E4-1CB8B4E672B4}">
  <sheetPr codeName="Sheet12">
    <tabColor rgb="FFFFFF00"/>
  </sheetPr>
  <dimension ref="A1:M24"/>
  <sheetViews>
    <sheetView workbookViewId="0">
      <selection activeCell="G27" sqref="G27"/>
    </sheetView>
  </sheetViews>
  <sheetFormatPr defaultRowHeight="16.5"/>
  <cols>
    <col min="2" max="2" width="6.875" bestFit="1" customWidth="1"/>
    <col min="3" max="3" width="14.25" bestFit="1" customWidth="1"/>
    <col min="4" max="4" width="19.8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3" ht="20.25">
      <c r="A1" s="4"/>
      <c r="B1" s="258" t="s">
        <v>1492</v>
      </c>
      <c r="D1" s="482" t="s">
        <v>1655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1656</v>
      </c>
      <c r="E3" s="495"/>
      <c r="F3" s="495"/>
      <c r="G3" s="496"/>
      <c r="H3" s="495" t="s">
        <v>1305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3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3">
      <c r="A8" s="4"/>
      <c r="B8" s="8">
        <v>3</v>
      </c>
      <c r="C8" s="47" t="s">
        <v>275</v>
      </c>
      <c r="D8" s="8" t="s">
        <v>992</v>
      </c>
      <c r="E8" s="8"/>
      <c r="F8" s="8"/>
      <c r="G8" s="8"/>
      <c r="H8" s="431" t="s">
        <v>1262</v>
      </c>
      <c r="I8" s="8" t="s">
        <v>947</v>
      </c>
      <c r="J8" s="8">
        <v>20</v>
      </c>
      <c r="K8" s="31"/>
      <c r="L8" s="136"/>
    </row>
    <row r="9" spans="1:13">
      <c r="A9" s="4"/>
      <c r="B9" s="8">
        <v>4</v>
      </c>
      <c r="C9" s="47" t="s">
        <v>1570</v>
      </c>
      <c r="D9" s="8" t="s">
        <v>1657</v>
      </c>
      <c r="E9" s="8"/>
      <c r="F9" s="8"/>
      <c r="G9" s="8"/>
      <c r="H9" s="431" t="s">
        <v>1262</v>
      </c>
      <c r="I9" s="8" t="s">
        <v>947</v>
      </c>
      <c r="J9" s="8">
        <v>50</v>
      </c>
      <c r="K9" s="31"/>
      <c r="L9" s="136"/>
    </row>
    <row r="10" spans="1:13">
      <c r="A10" s="4"/>
      <c r="B10" s="8">
        <v>5</v>
      </c>
      <c r="C10" s="47" t="s">
        <v>1658</v>
      </c>
      <c r="D10" s="8" t="s">
        <v>1659</v>
      </c>
      <c r="E10" s="8"/>
      <c r="F10" s="8"/>
      <c r="G10" s="8"/>
      <c r="H10" s="8"/>
      <c r="I10" s="8" t="s">
        <v>947</v>
      </c>
      <c r="J10" s="8">
        <v>10</v>
      </c>
      <c r="K10" s="31"/>
      <c r="L10" s="136"/>
    </row>
    <row r="11" spans="1:13">
      <c r="A11" s="4"/>
      <c r="B11" s="8">
        <v>6</v>
      </c>
      <c r="C11" s="47" t="s">
        <v>1660</v>
      </c>
      <c r="D11" s="8" t="s">
        <v>1661</v>
      </c>
      <c r="E11" s="8"/>
      <c r="F11" s="8"/>
      <c r="G11" s="8"/>
      <c r="H11" s="8"/>
      <c r="I11" s="8" t="s">
        <v>947</v>
      </c>
      <c r="J11" s="8">
        <v>100</v>
      </c>
      <c r="K11" s="31"/>
      <c r="L11" s="32" t="s">
        <v>1662</v>
      </c>
    </row>
    <row r="12" spans="1:13">
      <c r="A12" s="4"/>
      <c r="B12" s="8">
        <v>7</v>
      </c>
      <c r="C12" s="47" t="s">
        <v>1663</v>
      </c>
      <c r="D12" s="8" t="s">
        <v>996</v>
      </c>
      <c r="E12" s="8"/>
      <c r="F12" s="8"/>
      <c r="G12" s="8"/>
      <c r="H12" s="8"/>
      <c r="I12" s="8" t="s">
        <v>947</v>
      </c>
      <c r="J12" s="8">
        <v>10</v>
      </c>
      <c r="K12" s="31"/>
      <c r="L12" s="32"/>
    </row>
    <row r="13" spans="1:13">
      <c r="A13" s="4"/>
      <c r="B13" s="8">
        <v>8</v>
      </c>
      <c r="C13" s="47" t="s">
        <v>1664</v>
      </c>
      <c r="D13" s="8" t="s">
        <v>1000</v>
      </c>
      <c r="E13" s="8"/>
      <c r="F13" s="8"/>
      <c r="G13" s="8"/>
      <c r="H13" s="8"/>
      <c r="I13" s="8" t="s">
        <v>947</v>
      </c>
      <c r="J13" s="8">
        <v>10</v>
      </c>
      <c r="K13" s="31"/>
      <c r="L13" s="32"/>
    </row>
    <row r="14" spans="1:13">
      <c r="A14" s="4"/>
      <c r="B14" s="8">
        <v>9</v>
      </c>
      <c r="C14" s="47" t="s">
        <v>1665</v>
      </c>
      <c r="D14" s="47" t="s">
        <v>1666</v>
      </c>
      <c r="E14" s="8"/>
      <c r="F14" s="8"/>
      <c r="G14" s="8"/>
      <c r="H14" s="8"/>
      <c r="I14" s="8" t="s">
        <v>1053</v>
      </c>
      <c r="J14" s="8" t="s">
        <v>1667</v>
      </c>
      <c r="K14" s="33"/>
      <c r="L14" s="73" t="s">
        <v>1668</v>
      </c>
    </row>
    <row r="15" spans="1:13">
      <c r="A15" s="4"/>
      <c r="B15" s="8">
        <v>10</v>
      </c>
      <c r="C15" s="47" t="s">
        <v>361</v>
      </c>
      <c r="D15" s="8" t="s">
        <v>1669</v>
      </c>
      <c r="E15" s="8"/>
      <c r="F15" s="8"/>
      <c r="G15" s="8"/>
      <c r="H15" s="8"/>
      <c r="I15" s="8" t="s">
        <v>947</v>
      </c>
      <c r="J15" s="8">
        <v>1</v>
      </c>
      <c r="K15" s="33"/>
      <c r="L15" s="32" t="s">
        <v>1670</v>
      </c>
    </row>
    <row r="16" spans="1:13">
      <c r="A16" s="4"/>
      <c r="B16" s="8">
        <v>11</v>
      </c>
      <c r="C16" s="47" t="s">
        <v>1671</v>
      </c>
      <c r="D16" s="15" t="s">
        <v>123</v>
      </c>
      <c r="E16" s="8"/>
      <c r="F16" s="8"/>
      <c r="G16" s="8"/>
      <c r="H16" s="431" t="s">
        <v>1262</v>
      </c>
      <c r="I16" s="8" t="s">
        <v>947</v>
      </c>
      <c r="J16" s="8">
        <v>8</v>
      </c>
      <c r="K16" s="33"/>
      <c r="L16" s="32"/>
    </row>
    <row r="17" spans="1:12">
      <c r="A17" s="4"/>
      <c r="B17" s="8">
        <v>12</v>
      </c>
      <c r="C17" s="47" t="s">
        <v>1672</v>
      </c>
      <c r="D17" s="8" t="s">
        <v>1673</v>
      </c>
      <c r="E17" s="8"/>
      <c r="F17" s="8"/>
      <c r="G17" s="8"/>
      <c r="H17" s="8"/>
      <c r="I17" s="8" t="s">
        <v>947</v>
      </c>
      <c r="J17" s="8">
        <v>10</v>
      </c>
      <c r="K17" s="33"/>
      <c r="L17" s="73" t="s">
        <v>1674</v>
      </c>
    </row>
    <row r="18" spans="1:12">
      <c r="A18" s="4"/>
      <c r="B18" s="8">
        <v>13</v>
      </c>
      <c r="C18" s="47" t="s">
        <v>1675</v>
      </c>
      <c r="D18" s="8" t="s">
        <v>1675</v>
      </c>
      <c r="E18" s="8"/>
      <c r="F18" s="8"/>
      <c r="G18" s="8"/>
      <c r="H18" s="8"/>
      <c r="I18" s="8" t="s">
        <v>974</v>
      </c>
      <c r="J18" s="8"/>
      <c r="K18" s="33"/>
      <c r="L18" s="73" t="s">
        <v>1676</v>
      </c>
    </row>
    <row r="19" spans="1:12">
      <c r="A19" s="4"/>
      <c r="B19" s="8">
        <v>14</v>
      </c>
      <c r="C19" s="47" t="s">
        <v>1677</v>
      </c>
      <c r="D19" s="8" t="s">
        <v>1677</v>
      </c>
      <c r="E19" s="8"/>
      <c r="F19" s="8"/>
      <c r="G19" s="8"/>
      <c r="H19" s="8"/>
      <c r="I19" s="8" t="s">
        <v>967</v>
      </c>
      <c r="J19" s="8"/>
      <c r="K19" s="33"/>
      <c r="L19" s="32">
        <v>99</v>
      </c>
    </row>
    <row r="20" spans="1:12">
      <c r="B20" s="8">
        <v>15</v>
      </c>
      <c r="C20" s="16" t="s">
        <v>1678</v>
      </c>
      <c r="D20" s="16" t="s">
        <v>1678</v>
      </c>
      <c r="E20" s="16"/>
      <c r="F20" s="16"/>
      <c r="G20" s="16"/>
      <c r="H20" s="16"/>
      <c r="I20" s="8" t="s">
        <v>947</v>
      </c>
      <c r="J20" s="16">
        <v>1</v>
      </c>
      <c r="K20" s="16"/>
      <c r="L20" s="16" t="s">
        <v>1679</v>
      </c>
    </row>
    <row r="21" spans="1:12">
      <c r="B21" s="8">
        <v>16</v>
      </c>
      <c r="C21" s="16" t="s">
        <v>31</v>
      </c>
      <c r="D21" s="16" t="s">
        <v>1680</v>
      </c>
      <c r="E21" s="16"/>
      <c r="F21" s="16"/>
      <c r="G21" s="16"/>
      <c r="H21" s="16"/>
      <c r="I21" s="8" t="s">
        <v>974</v>
      </c>
      <c r="J21" s="16"/>
      <c r="K21" s="16"/>
      <c r="L21" s="16"/>
    </row>
    <row r="22" spans="1:12">
      <c r="B22" s="8">
        <v>17</v>
      </c>
      <c r="C22" s="16" t="s">
        <v>1681</v>
      </c>
      <c r="D22" s="16" t="s">
        <v>34</v>
      </c>
      <c r="E22" s="16"/>
      <c r="F22" s="16"/>
      <c r="G22" s="16"/>
      <c r="H22" s="16"/>
      <c r="I22" s="16" t="s">
        <v>947</v>
      </c>
      <c r="J22" s="16">
        <v>255</v>
      </c>
      <c r="K22" s="16"/>
      <c r="L22" s="16"/>
    </row>
    <row r="23" spans="1:12">
      <c r="B23" s="8">
        <v>18</v>
      </c>
      <c r="C23" s="16" t="s">
        <v>1682</v>
      </c>
      <c r="D23" s="16" t="s">
        <v>1683</v>
      </c>
      <c r="E23" s="16"/>
      <c r="F23" s="16"/>
      <c r="G23" s="16"/>
      <c r="H23" s="16"/>
      <c r="I23" s="16" t="s">
        <v>974</v>
      </c>
      <c r="J23" s="16"/>
      <c r="K23" s="16"/>
      <c r="L23" s="16"/>
    </row>
    <row r="24" spans="1:12">
      <c r="B24" s="8">
        <v>19</v>
      </c>
      <c r="C24" s="16" t="s">
        <v>1684</v>
      </c>
      <c r="D24" s="16" t="s">
        <v>1685</v>
      </c>
      <c r="E24" s="16"/>
      <c r="F24" s="16"/>
      <c r="G24" s="16"/>
      <c r="H24" s="16"/>
      <c r="I24" s="16" t="s">
        <v>947</v>
      </c>
      <c r="J24" s="16">
        <v>255</v>
      </c>
      <c r="K24" s="16"/>
      <c r="L24" s="16"/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0922B302-25E5-403B-B4F2-47BA9CA0215D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47B25-0231-4F98-8585-F9B267B6D822}">
  <sheetPr codeName="Sheet13">
    <tabColor rgb="FFFFFF00"/>
  </sheetPr>
  <dimension ref="A1:N22"/>
  <sheetViews>
    <sheetView workbookViewId="0">
      <selection activeCell="K15" sqref="K15"/>
    </sheetView>
  </sheetViews>
  <sheetFormatPr defaultRowHeight="16.5"/>
  <cols>
    <col min="2" max="2" width="6.875" bestFit="1" customWidth="1"/>
    <col min="3" max="3" width="14.25" bestFit="1" customWidth="1"/>
    <col min="4" max="4" width="19.8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1" width="68.75" customWidth="1"/>
    <col min="12" max="12" width="34.625" customWidth="1"/>
  </cols>
  <sheetData>
    <row r="1" spans="1:12" ht="20.25">
      <c r="A1" s="4"/>
      <c r="B1" s="258" t="s">
        <v>1686</v>
      </c>
      <c r="D1" s="482" t="s">
        <v>1316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1025</v>
      </c>
      <c r="E3" s="495"/>
      <c r="F3" s="495"/>
      <c r="G3" s="496"/>
      <c r="H3" s="495" t="s">
        <v>1687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t="s">
        <v>1650</v>
      </c>
      <c r="B6" s="300">
        <v>1</v>
      </c>
      <c r="C6" s="300" t="s">
        <v>1515</v>
      </c>
      <c r="D6" s="301" t="s">
        <v>1546</v>
      </c>
      <c r="E6" s="300" t="s">
        <v>1065</v>
      </c>
      <c r="F6" s="300"/>
      <c r="G6" s="300"/>
      <c r="H6" s="300" t="s">
        <v>1065</v>
      </c>
      <c r="I6" s="300" t="s">
        <v>947</v>
      </c>
      <c r="J6" s="300">
        <v>20</v>
      </c>
      <c r="K6" s="139"/>
      <c r="L6" s="138"/>
    </row>
    <row r="7" spans="1:12">
      <c r="A7" s="4"/>
      <c r="B7" s="8">
        <v>2</v>
      </c>
      <c r="C7" s="8" t="s">
        <v>39</v>
      </c>
      <c r="D7" s="42" t="s">
        <v>992</v>
      </c>
      <c r="E7" s="8" t="s">
        <v>1065</v>
      </c>
      <c r="F7" s="282" t="s">
        <v>1065</v>
      </c>
      <c r="G7" s="8"/>
      <c r="H7" s="8" t="s">
        <v>1065</v>
      </c>
      <c r="I7" s="8" t="s">
        <v>947</v>
      </c>
      <c r="J7" s="8">
        <v>20</v>
      </c>
      <c r="K7" s="139"/>
      <c r="L7" s="138"/>
    </row>
    <row r="8" spans="1:12">
      <c r="A8" s="4"/>
      <c r="B8" s="8">
        <v>3</v>
      </c>
      <c r="C8" s="8" t="s">
        <v>1570</v>
      </c>
      <c r="D8" s="42" t="s">
        <v>1657</v>
      </c>
      <c r="E8" s="8"/>
      <c r="F8" s="8"/>
      <c r="G8" s="8"/>
      <c r="H8" s="8" t="s">
        <v>1065</v>
      </c>
      <c r="I8" s="8" t="s">
        <v>947</v>
      </c>
      <c r="J8" s="8">
        <v>50</v>
      </c>
      <c r="K8" s="31"/>
      <c r="L8" s="33"/>
    </row>
    <row r="9" spans="1:12">
      <c r="A9" s="4"/>
      <c r="B9" s="8">
        <v>4</v>
      </c>
      <c r="C9" s="8" t="s">
        <v>1658</v>
      </c>
      <c r="D9" s="42" t="s">
        <v>1659</v>
      </c>
      <c r="E9" s="8"/>
      <c r="F9" s="8"/>
      <c r="G9" s="8"/>
      <c r="H9" s="8"/>
      <c r="I9" s="8" t="s">
        <v>947</v>
      </c>
      <c r="J9" s="8">
        <v>10</v>
      </c>
      <c r="K9" s="33"/>
      <c r="L9" s="33"/>
    </row>
    <row r="10" spans="1:12">
      <c r="A10" s="4"/>
      <c r="B10" s="8">
        <v>5</v>
      </c>
      <c r="C10" s="47" t="s">
        <v>1688</v>
      </c>
      <c r="D10" s="8" t="s">
        <v>1661</v>
      </c>
      <c r="E10" s="8"/>
      <c r="F10" s="8"/>
      <c r="G10" s="8"/>
      <c r="H10" s="8"/>
      <c r="I10" s="8" t="s">
        <v>947</v>
      </c>
      <c r="J10" s="8">
        <v>100</v>
      </c>
      <c r="K10" s="31" t="s">
        <v>1689</v>
      </c>
      <c r="L10" s="33" t="s">
        <v>1690</v>
      </c>
    </row>
    <row r="11" spans="1:12">
      <c r="A11" s="4"/>
      <c r="B11" s="8">
        <v>6</v>
      </c>
      <c r="C11" s="47" t="s">
        <v>995</v>
      </c>
      <c r="D11" s="8" t="s">
        <v>996</v>
      </c>
      <c r="E11" s="8"/>
      <c r="F11" s="8"/>
      <c r="G11" s="8"/>
      <c r="H11" s="8"/>
      <c r="I11" s="8" t="s">
        <v>947</v>
      </c>
      <c r="J11" s="8">
        <v>10</v>
      </c>
      <c r="K11" s="31"/>
      <c r="L11" s="136"/>
    </row>
    <row r="12" spans="1:12">
      <c r="A12" s="4"/>
      <c r="B12" s="8">
        <v>7</v>
      </c>
      <c r="C12" s="47" t="s">
        <v>999</v>
      </c>
      <c r="D12" s="8" t="s">
        <v>1000</v>
      </c>
      <c r="E12" s="8"/>
      <c r="F12" s="8"/>
      <c r="G12" s="8"/>
      <c r="H12" s="8"/>
      <c r="I12" s="8" t="s">
        <v>947</v>
      </c>
      <c r="J12" s="8">
        <v>10</v>
      </c>
      <c r="K12" s="31"/>
      <c r="L12" s="136"/>
    </row>
    <row r="13" spans="1:12">
      <c r="A13" s="4"/>
      <c r="B13" s="8">
        <v>8</v>
      </c>
      <c r="C13" s="47" t="s">
        <v>1543</v>
      </c>
      <c r="D13" s="8" t="s">
        <v>939</v>
      </c>
      <c r="E13" s="8"/>
      <c r="F13" s="8"/>
      <c r="G13" s="8"/>
      <c r="H13" s="8"/>
      <c r="I13" s="16" t="s">
        <v>1019</v>
      </c>
      <c r="J13" s="8"/>
      <c r="K13" s="31"/>
      <c r="L13" s="136" t="s">
        <v>1670</v>
      </c>
    </row>
    <row r="14" spans="1:12">
      <c r="A14" s="4"/>
      <c r="B14" s="8">
        <v>9</v>
      </c>
      <c r="C14" s="47" t="s">
        <v>1003</v>
      </c>
      <c r="D14" s="194" t="s">
        <v>1691</v>
      </c>
      <c r="E14" s="8"/>
      <c r="F14" s="8"/>
      <c r="G14" s="8"/>
      <c r="H14" s="63" t="s">
        <v>1262</v>
      </c>
      <c r="I14" s="8" t="s">
        <v>947</v>
      </c>
      <c r="J14" s="8">
        <v>8</v>
      </c>
      <c r="K14" s="31"/>
      <c r="L14" s="32"/>
    </row>
    <row r="15" spans="1:12">
      <c r="A15" s="4"/>
      <c r="B15" s="8">
        <v>10</v>
      </c>
      <c r="C15" s="47" t="s">
        <v>981</v>
      </c>
      <c r="D15" s="8" t="s">
        <v>1673</v>
      </c>
      <c r="E15" s="8"/>
      <c r="F15" s="8"/>
      <c r="G15" s="8"/>
      <c r="H15" s="300" t="s">
        <v>1262</v>
      </c>
      <c r="I15" s="8" t="s">
        <v>947</v>
      </c>
      <c r="J15" s="8">
        <v>10</v>
      </c>
      <c r="K15" s="33" t="s">
        <v>1692</v>
      </c>
      <c r="L15" s="32" t="s">
        <v>1674</v>
      </c>
    </row>
    <row r="16" spans="1:12">
      <c r="B16" s="8">
        <v>11</v>
      </c>
      <c r="C16" s="20" t="s">
        <v>27</v>
      </c>
      <c r="D16" s="20" t="s">
        <v>28</v>
      </c>
      <c r="E16" s="20" t="s">
        <v>1072</v>
      </c>
      <c r="F16" s="20" t="s">
        <v>1072</v>
      </c>
      <c r="G16" s="20" t="s">
        <v>1072</v>
      </c>
      <c r="H16" s="20" t="s">
        <v>1072</v>
      </c>
      <c r="I16" s="20" t="s">
        <v>951</v>
      </c>
      <c r="J16" s="20"/>
      <c r="K16" s="30" t="s">
        <v>1511</v>
      </c>
      <c r="L16" s="44" t="s">
        <v>1072</v>
      </c>
    </row>
    <row r="17" spans="2:14">
      <c r="B17" s="8">
        <v>12</v>
      </c>
      <c r="C17" s="20" t="s">
        <v>33</v>
      </c>
      <c r="D17" s="20" t="s">
        <v>34</v>
      </c>
      <c r="E17" s="20" t="s">
        <v>1072</v>
      </c>
      <c r="F17" s="20" t="s">
        <v>1072</v>
      </c>
      <c r="G17" s="20" t="s">
        <v>1072</v>
      </c>
      <c r="H17" s="20" t="s">
        <v>1072</v>
      </c>
      <c r="I17" s="20" t="s">
        <v>947</v>
      </c>
      <c r="J17" s="20"/>
      <c r="K17" s="30" t="s">
        <v>1511</v>
      </c>
      <c r="L17" s="44" t="s">
        <v>1072</v>
      </c>
    </row>
    <row r="18" spans="2:14">
      <c r="B18" s="8">
        <v>13</v>
      </c>
      <c r="C18" s="20" t="s">
        <v>37</v>
      </c>
      <c r="D18" s="20" t="s">
        <v>38</v>
      </c>
      <c r="E18" s="20" t="s">
        <v>1072</v>
      </c>
      <c r="F18" s="20" t="s">
        <v>1072</v>
      </c>
      <c r="G18" s="20" t="s">
        <v>1072</v>
      </c>
      <c r="H18" s="46" t="s">
        <v>1072</v>
      </c>
      <c r="I18" s="20" t="s">
        <v>951</v>
      </c>
      <c r="J18" s="20"/>
      <c r="K18" s="30" t="s">
        <v>1511</v>
      </c>
      <c r="L18" s="44" t="s">
        <v>1072</v>
      </c>
    </row>
    <row r="19" spans="2:14">
      <c r="B19" s="8">
        <v>14</v>
      </c>
      <c r="C19" s="20" t="s">
        <v>43</v>
      </c>
      <c r="D19" s="20" t="s">
        <v>44</v>
      </c>
      <c r="E19" s="20" t="s">
        <v>1072</v>
      </c>
      <c r="F19" s="20" t="s">
        <v>1072</v>
      </c>
      <c r="G19" s="20" t="s">
        <v>1072</v>
      </c>
      <c r="H19" s="20" t="s">
        <v>1072</v>
      </c>
      <c r="I19" s="20" t="s">
        <v>947</v>
      </c>
      <c r="J19" s="20"/>
      <c r="K19" s="30" t="s">
        <v>1511</v>
      </c>
      <c r="L19" s="44" t="s">
        <v>1072</v>
      </c>
    </row>
    <row r="22" spans="2:14">
      <c r="N22" t="str">
        <f>LOWER(C20)</f>
        <v/>
      </c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CADC7501-F9E1-49F1-8187-53A8E4812C66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24DA-45BF-43C9-AC2D-867FDAB9066F}">
  <sheetPr codeName="Sheet41">
    <tabColor rgb="FFFFFF00"/>
  </sheetPr>
  <dimension ref="A1:M25"/>
  <sheetViews>
    <sheetView workbookViewId="0">
      <selection activeCell="B6" sqref="B6"/>
    </sheetView>
  </sheetViews>
  <sheetFormatPr defaultRowHeight="16.5"/>
  <cols>
    <col min="2" max="2" width="6.875" bestFit="1" customWidth="1"/>
    <col min="3" max="3" width="18.875" bestFit="1" customWidth="1"/>
    <col min="4" max="4" width="21.625" bestFit="1" customWidth="1"/>
    <col min="5" max="5" width="3.75" bestFit="1" customWidth="1"/>
    <col min="6" max="6" width="3.75" customWidth="1"/>
    <col min="7" max="7" width="16.125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3" ht="20.25">
      <c r="A1" s="4"/>
      <c r="B1" s="258" t="s">
        <v>1492</v>
      </c>
      <c r="D1" s="482" t="s">
        <v>1328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1693</v>
      </c>
      <c r="E3" s="495"/>
      <c r="F3" s="495"/>
      <c r="G3" s="496"/>
      <c r="H3" s="495" t="s">
        <v>1328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3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3">
      <c r="A8" s="4"/>
      <c r="B8" s="8">
        <v>3</v>
      </c>
      <c r="C8" s="8" t="s">
        <v>1694</v>
      </c>
      <c r="D8" s="42" t="s">
        <v>1695</v>
      </c>
      <c r="E8" s="25"/>
      <c r="F8" s="8"/>
      <c r="G8" s="8"/>
      <c r="H8" s="282" t="s">
        <v>1065</v>
      </c>
      <c r="I8" s="8" t="s">
        <v>1516</v>
      </c>
      <c r="J8" s="8">
        <v>20</v>
      </c>
      <c r="K8" s="139"/>
      <c r="L8" s="33">
        <v>90865</v>
      </c>
    </row>
    <row r="9" spans="1:13">
      <c r="A9" s="4"/>
      <c r="B9" s="8">
        <v>4</v>
      </c>
      <c r="C9" s="8" t="s">
        <v>275</v>
      </c>
      <c r="D9" s="42" t="s">
        <v>992</v>
      </c>
      <c r="E9" s="8"/>
      <c r="F9" s="8"/>
      <c r="G9" s="8"/>
      <c r="H9" s="282" t="s">
        <v>1065</v>
      </c>
      <c r="I9" s="8" t="s">
        <v>1516</v>
      </c>
      <c r="J9" s="8">
        <v>20</v>
      </c>
      <c r="K9" s="31"/>
      <c r="L9" s="33"/>
    </row>
    <row r="10" spans="1:13">
      <c r="B10" s="8">
        <v>5</v>
      </c>
      <c r="C10" s="16" t="s">
        <v>1696</v>
      </c>
      <c r="D10" s="16" t="s">
        <v>1697</v>
      </c>
      <c r="E10" s="16"/>
      <c r="F10" s="16"/>
      <c r="G10" s="16"/>
      <c r="H10" s="16"/>
      <c r="I10" s="8" t="s">
        <v>1516</v>
      </c>
      <c r="J10" s="8">
        <v>25</v>
      </c>
      <c r="K10" s="79"/>
      <c r="L10" s="33">
        <v>20241212</v>
      </c>
    </row>
    <row r="11" spans="1:13">
      <c r="B11" s="8">
        <v>6</v>
      </c>
      <c r="C11" s="16" t="s">
        <v>1698</v>
      </c>
      <c r="D11" s="16" t="s">
        <v>1699</v>
      </c>
      <c r="E11" s="16"/>
      <c r="F11" s="16"/>
      <c r="G11" s="16"/>
      <c r="H11" s="16"/>
      <c r="I11" s="8" t="s">
        <v>1516</v>
      </c>
      <c r="J11" s="8">
        <v>25</v>
      </c>
      <c r="K11" s="16"/>
      <c r="L11" s="8">
        <v>99991231</v>
      </c>
    </row>
    <row r="12" spans="1:13">
      <c r="B12" s="8">
        <v>7</v>
      </c>
      <c r="C12" s="16" t="s">
        <v>1700</v>
      </c>
      <c r="D12" s="16" t="s">
        <v>1701</v>
      </c>
      <c r="E12" s="16"/>
      <c r="F12" s="16"/>
      <c r="G12" s="16"/>
      <c r="H12" s="16"/>
      <c r="I12" s="8" t="s">
        <v>1516</v>
      </c>
      <c r="J12" s="8">
        <v>1</v>
      </c>
      <c r="K12" s="16" t="s">
        <v>1702</v>
      </c>
      <c r="L12" s="8" t="s">
        <v>1703</v>
      </c>
    </row>
    <row r="13" spans="1:13">
      <c r="B13" s="8">
        <v>8</v>
      </c>
      <c r="C13" s="16" t="s">
        <v>1704</v>
      </c>
      <c r="D13" s="16" t="s">
        <v>1705</v>
      </c>
      <c r="E13" s="16"/>
      <c r="F13" s="16"/>
      <c r="G13" s="16"/>
      <c r="H13" s="16"/>
      <c r="I13" s="8" t="s">
        <v>1516</v>
      </c>
      <c r="J13" s="8">
        <v>25</v>
      </c>
      <c r="K13" s="16"/>
      <c r="L13" s="8">
        <v>1735</v>
      </c>
    </row>
    <row r="14" spans="1:13">
      <c r="B14" s="8">
        <v>9</v>
      </c>
      <c r="C14" s="16" t="s">
        <v>1706</v>
      </c>
      <c r="D14" s="16" t="s">
        <v>1707</v>
      </c>
      <c r="E14" s="16"/>
      <c r="F14" s="16"/>
      <c r="G14" s="16"/>
      <c r="H14" s="16"/>
      <c r="I14" s="8" t="s">
        <v>1516</v>
      </c>
      <c r="J14" s="8">
        <v>1</v>
      </c>
      <c r="K14" s="16"/>
      <c r="L14" s="16"/>
    </row>
    <row r="15" spans="1:13">
      <c r="B15" s="8">
        <v>10</v>
      </c>
      <c r="C15" s="16" t="s">
        <v>1708</v>
      </c>
      <c r="D15" s="16" t="s">
        <v>1709</v>
      </c>
      <c r="E15" s="16"/>
      <c r="F15" s="16"/>
      <c r="G15" s="16"/>
      <c r="H15" s="16"/>
      <c r="I15" s="8" t="s">
        <v>1516</v>
      </c>
      <c r="J15" s="8">
        <v>1</v>
      </c>
      <c r="K15" s="16"/>
      <c r="L15" s="8" t="s">
        <v>1710</v>
      </c>
    </row>
    <row r="16" spans="1:13">
      <c r="B16" s="8">
        <v>11</v>
      </c>
      <c r="C16" s="16" t="s">
        <v>1711</v>
      </c>
      <c r="D16" s="16" t="s">
        <v>1712</v>
      </c>
      <c r="E16" s="16"/>
      <c r="F16" s="16"/>
      <c r="G16" s="16"/>
      <c r="H16" s="16"/>
      <c r="I16" s="8" t="s">
        <v>1516</v>
      </c>
      <c r="J16" s="8">
        <v>25</v>
      </c>
      <c r="K16" s="16"/>
      <c r="L16" s="16" t="s">
        <v>1713</v>
      </c>
    </row>
    <row r="17" spans="2:12">
      <c r="B17" s="8">
        <v>12</v>
      </c>
      <c r="C17" s="16" t="s">
        <v>25</v>
      </c>
      <c r="D17" s="16" t="s">
        <v>1714</v>
      </c>
      <c r="E17" s="16"/>
      <c r="F17" s="16"/>
      <c r="G17" s="16"/>
      <c r="H17" s="16"/>
      <c r="I17" s="8" t="s">
        <v>1715</v>
      </c>
      <c r="J17" s="16"/>
      <c r="K17" s="16"/>
      <c r="L17" s="115">
        <v>3.5034722222222224E-2</v>
      </c>
    </row>
    <row r="18" spans="2:12">
      <c r="B18" s="8">
        <v>13</v>
      </c>
      <c r="C18" s="16" t="s">
        <v>1716</v>
      </c>
      <c r="D18" s="16" t="s">
        <v>1717</v>
      </c>
      <c r="E18" s="16"/>
      <c r="F18" s="16"/>
      <c r="G18" s="16"/>
      <c r="H18" s="16"/>
      <c r="I18" s="8" t="s">
        <v>1715</v>
      </c>
      <c r="J18" s="16"/>
      <c r="K18" s="16"/>
      <c r="L18" s="16"/>
    </row>
    <row r="19" spans="2:12">
      <c r="B19" s="8">
        <v>14</v>
      </c>
      <c r="C19" s="16" t="s">
        <v>1675</v>
      </c>
      <c r="D19" s="16" t="s">
        <v>1675</v>
      </c>
      <c r="E19" s="16"/>
      <c r="F19" s="16"/>
      <c r="G19" s="16"/>
      <c r="H19" s="16"/>
      <c r="I19" s="8" t="s">
        <v>1715</v>
      </c>
      <c r="J19" s="16"/>
      <c r="K19" s="16"/>
      <c r="L19" s="16" t="s">
        <v>1676</v>
      </c>
    </row>
    <row r="20" spans="2:12">
      <c r="B20" s="8">
        <v>15</v>
      </c>
      <c r="C20" s="16" t="s">
        <v>1677</v>
      </c>
      <c r="D20" s="16" t="s">
        <v>1677</v>
      </c>
      <c r="E20" s="16"/>
      <c r="F20" s="16"/>
      <c r="G20" s="16"/>
      <c r="H20" s="16"/>
      <c r="I20" s="8" t="s">
        <v>967</v>
      </c>
      <c r="J20" s="16"/>
      <c r="K20" s="16"/>
      <c r="L20" s="16">
        <v>99</v>
      </c>
    </row>
    <row r="21" spans="2:12">
      <c r="B21" s="8">
        <v>16</v>
      </c>
      <c r="C21" s="16" t="s">
        <v>1678</v>
      </c>
      <c r="D21" s="16" t="s">
        <v>1678</v>
      </c>
      <c r="E21" s="16"/>
      <c r="F21" s="16"/>
      <c r="G21" s="16"/>
      <c r="H21" s="16"/>
      <c r="I21" s="8" t="s">
        <v>947</v>
      </c>
      <c r="J21" s="16">
        <v>1</v>
      </c>
      <c r="K21" s="16"/>
      <c r="L21" s="16" t="s">
        <v>1679</v>
      </c>
    </row>
    <row r="22" spans="2:12">
      <c r="B22" s="8">
        <v>17</v>
      </c>
      <c r="C22" s="16" t="s">
        <v>1718</v>
      </c>
      <c r="D22" s="16" t="s">
        <v>1719</v>
      </c>
      <c r="E22" s="16"/>
      <c r="F22" s="16"/>
      <c r="G22" s="16"/>
      <c r="H22" s="16"/>
      <c r="I22" s="8" t="s">
        <v>1715</v>
      </c>
      <c r="J22" s="16"/>
      <c r="K22" s="16"/>
      <c r="L22" s="16"/>
    </row>
    <row r="23" spans="2:12">
      <c r="B23" s="8">
        <v>18</v>
      </c>
      <c r="C23" s="16" t="s">
        <v>1720</v>
      </c>
      <c r="D23" s="16" t="s">
        <v>993</v>
      </c>
      <c r="E23" s="16"/>
      <c r="F23" s="16"/>
      <c r="G23" s="16"/>
      <c r="H23" s="16"/>
      <c r="I23" s="8" t="s">
        <v>1516</v>
      </c>
      <c r="J23" s="16">
        <v>255</v>
      </c>
      <c r="K23" s="16"/>
      <c r="L23" s="16"/>
    </row>
    <row r="24" spans="2:12">
      <c r="B24" s="8">
        <v>19</v>
      </c>
      <c r="C24" s="16" t="s">
        <v>1721</v>
      </c>
      <c r="D24" s="16" t="s">
        <v>1722</v>
      </c>
      <c r="E24" s="16"/>
      <c r="F24" s="16"/>
      <c r="G24" s="16"/>
      <c r="H24" s="16"/>
      <c r="I24" s="8" t="s">
        <v>1715</v>
      </c>
      <c r="J24" s="16"/>
      <c r="K24" s="16"/>
      <c r="L24" s="16"/>
    </row>
    <row r="25" spans="2:12">
      <c r="B25" s="8">
        <v>20</v>
      </c>
      <c r="C25" s="16" t="s">
        <v>1723</v>
      </c>
      <c r="D25" s="16" t="s">
        <v>1724</v>
      </c>
      <c r="E25" s="16"/>
      <c r="F25" s="16"/>
      <c r="G25" s="16"/>
      <c r="H25" s="16"/>
      <c r="I25" s="8" t="s">
        <v>1516</v>
      </c>
      <c r="J25" s="16">
        <v>255</v>
      </c>
      <c r="K25" s="16"/>
      <c r="L25" s="16"/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CE2F38DA-B14E-4A18-BABF-4375D9AB8F6F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6286-1047-4A25-A85D-57A06C240A40}">
  <sheetPr codeName="Sheet42">
    <tabColor rgb="FFFFFF00"/>
  </sheetPr>
  <dimension ref="A1:L22"/>
  <sheetViews>
    <sheetView workbookViewId="0">
      <selection activeCell="L14" sqref="L14"/>
    </sheetView>
  </sheetViews>
  <sheetFormatPr defaultRowHeight="16.5"/>
  <cols>
    <col min="2" max="2" width="6.875" bestFit="1" customWidth="1"/>
    <col min="3" max="3" width="18.875" bestFit="1" customWidth="1"/>
    <col min="4" max="4" width="27.375" customWidth="1"/>
    <col min="5" max="5" width="3.75" bestFit="1" customWidth="1"/>
    <col min="6" max="6" width="3.75" customWidth="1"/>
    <col min="7" max="7" width="16.125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2" ht="20.25">
      <c r="A1" s="4"/>
      <c r="B1" s="258" t="s">
        <v>1492</v>
      </c>
      <c r="D1" s="482" t="s">
        <v>1331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1330</v>
      </c>
      <c r="E3" s="495"/>
      <c r="F3" s="495"/>
      <c r="G3" s="496"/>
      <c r="H3" s="495" t="s">
        <v>1725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t="s">
        <v>1650</v>
      </c>
      <c r="B6" s="300">
        <v>1</v>
      </c>
      <c r="C6" s="300" t="s">
        <v>1515</v>
      </c>
      <c r="D6" s="301" t="s">
        <v>1546</v>
      </c>
      <c r="E6" s="300" t="s">
        <v>1065</v>
      </c>
      <c r="F6" s="300"/>
      <c r="G6" s="300"/>
      <c r="H6" s="300" t="s">
        <v>1065</v>
      </c>
      <c r="I6" s="300" t="s">
        <v>947</v>
      </c>
      <c r="J6" s="300">
        <v>20</v>
      </c>
      <c r="K6" s="139"/>
      <c r="L6" s="138"/>
    </row>
    <row r="7" spans="1:12">
      <c r="A7" s="4"/>
      <c r="B7" s="8">
        <v>2</v>
      </c>
      <c r="C7" s="8" t="s">
        <v>1694</v>
      </c>
      <c r="D7" s="42" t="s">
        <v>1064</v>
      </c>
      <c r="E7" s="8" t="s">
        <v>1065</v>
      </c>
      <c r="F7" s="8"/>
      <c r="G7" s="8"/>
      <c r="H7" s="8" t="s">
        <v>1065</v>
      </c>
      <c r="I7" s="8" t="s">
        <v>1516</v>
      </c>
      <c r="J7" s="8">
        <v>20</v>
      </c>
      <c r="K7" s="139"/>
      <c r="L7" s="33">
        <v>90865</v>
      </c>
    </row>
    <row r="8" spans="1:12">
      <c r="A8" s="4"/>
      <c r="B8" s="8">
        <v>3</v>
      </c>
      <c r="C8" s="8" t="s">
        <v>275</v>
      </c>
      <c r="D8" s="42" t="s">
        <v>992</v>
      </c>
      <c r="E8" s="8" t="s">
        <v>1065</v>
      </c>
      <c r="F8" s="8"/>
      <c r="G8" s="8"/>
      <c r="H8" s="8" t="s">
        <v>1065</v>
      </c>
      <c r="I8" s="8" t="s">
        <v>1516</v>
      </c>
      <c r="J8" s="8">
        <v>20</v>
      </c>
      <c r="K8" s="31"/>
      <c r="L8" s="33"/>
    </row>
    <row r="9" spans="1:12">
      <c r="B9" s="8">
        <v>4</v>
      </c>
      <c r="C9" s="16" t="s">
        <v>1726</v>
      </c>
      <c r="D9" s="16" t="s">
        <v>1727</v>
      </c>
      <c r="E9" s="16"/>
      <c r="F9" s="16"/>
      <c r="G9" s="16"/>
      <c r="H9" s="16"/>
      <c r="I9" s="8" t="s">
        <v>1516</v>
      </c>
      <c r="J9" s="8">
        <v>25</v>
      </c>
      <c r="K9" s="79"/>
      <c r="L9" s="33">
        <v>20241212</v>
      </c>
    </row>
    <row r="10" spans="1:12">
      <c r="B10" s="8">
        <v>5</v>
      </c>
      <c r="C10" s="16" t="s">
        <v>409</v>
      </c>
      <c r="D10" s="16" t="s">
        <v>1728</v>
      </c>
      <c r="E10" s="16"/>
      <c r="F10" s="16"/>
      <c r="G10" s="16"/>
      <c r="H10" s="16"/>
      <c r="I10" s="8" t="s">
        <v>1516</v>
      </c>
      <c r="J10" s="8">
        <v>25</v>
      </c>
      <c r="K10" s="79"/>
      <c r="L10" s="33">
        <v>99991231</v>
      </c>
    </row>
    <row r="11" spans="1:12">
      <c r="B11" s="8">
        <v>6</v>
      </c>
      <c r="C11" s="16" t="s">
        <v>1700</v>
      </c>
      <c r="D11" s="16" t="s">
        <v>1701</v>
      </c>
      <c r="E11" s="16"/>
      <c r="F11" s="16"/>
      <c r="G11" s="16"/>
      <c r="H11" s="16"/>
      <c r="I11" s="8" t="s">
        <v>1516</v>
      </c>
      <c r="J11" s="8">
        <v>1</v>
      </c>
      <c r="K11" s="79" t="s">
        <v>1729</v>
      </c>
      <c r="L11" s="33" t="s">
        <v>1703</v>
      </c>
    </row>
    <row r="12" spans="1:12">
      <c r="B12" s="8">
        <v>7</v>
      </c>
      <c r="C12" s="16" t="s">
        <v>1708</v>
      </c>
      <c r="D12" s="16" t="s">
        <v>1709</v>
      </c>
      <c r="E12" s="16"/>
      <c r="F12" s="16"/>
      <c r="G12" s="16"/>
      <c r="H12" s="16"/>
      <c r="I12" s="8" t="s">
        <v>1516</v>
      </c>
      <c r="J12" s="8">
        <v>1</v>
      </c>
      <c r="K12" s="79"/>
      <c r="L12" s="33" t="s">
        <v>1710</v>
      </c>
    </row>
    <row r="13" spans="1:12">
      <c r="B13" s="8">
        <v>8</v>
      </c>
      <c r="C13" s="16" t="s">
        <v>1730</v>
      </c>
      <c r="D13" s="16" t="s">
        <v>1712</v>
      </c>
      <c r="E13" s="16"/>
      <c r="F13" s="16"/>
      <c r="G13" s="16"/>
      <c r="H13" s="16"/>
      <c r="I13" s="8" t="s">
        <v>1516</v>
      </c>
      <c r="J13" s="8">
        <v>25</v>
      </c>
      <c r="K13" s="79"/>
      <c r="L13" s="79" t="s">
        <v>1731</v>
      </c>
    </row>
    <row r="14" spans="1:12">
      <c r="B14" s="8">
        <v>9</v>
      </c>
      <c r="C14" s="16" t="s">
        <v>1732</v>
      </c>
      <c r="D14" s="16" t="s">
        <v>1733</v>
      </c>
      <c r="E14" s="16"/>
      <c r="F14" s="16"/>
      <c r="G14" s="16"/>
      <c r="H14" s="16"/>
      <c r="I14" s="8" t="s">
        <v>1715</v>
      </c>
      <c r="J14" s="16"/>
      <c r="K14" s="16"/>
      <c r="L14" s="115">
        <v>3.5034722222222224E-2</v>
      </c>
    </row>
    <row r="15" spans="1:12">
      <c r="B15" s="8">
        <v>10</v>
      </c>
      <c r="C15" s="16" t="s">
        <v>1734</v>
      </c>
      <c r="D15" s="16" t="s">
        <v>1735</v>
      </c>
      <c r="E15" s="16"/>
      <c r="F15" s="16"/>
      <c r="G15" s="16"/>
      <c r="H15" s="16"/>
      <c r="I15" s="8" t="s">
        <v>1715</v>
      </c>
      <c r="J15" s="16"/>
      <c r="K15" s="16"/>
      <c r="L15" s="16"/>
    </row>
    <row r="16" spans="1:12">
      <c r="B16" s="8">
        <v>11</v>
      </c>
      <c r="C16" s="16" t="s">
        <v>1720</v>
      </c>
      <c r="D16" s="16" t="s">
        <v>993</v>
      </c>
      <c r="E16" s="16"/>
      <c r="F16" s="16"/>
      <c r="G16" s="16"/>
      <c r="H16" s="16"/>
      <c r="I16" s="8" t="s">
        <v>1516</v>
      </c>
      <c r="J16" s="16">
        <v>255</v>
      </c>
      <c r="K16" s="16">
        <v>255</v>
      </c>
      <c r="L16" s="16"/>
    </row>
    <row r="17" spans="2:12">
      <c r="B17" s="8">
        <v>12</v>
      </c>
      <c r="C17" s="16" t="s">
        <v>1721</v>
      </c>
      <c r="D17" s="16" t="s">
        <v>1722</v>
      </c>
      <c r="E17" s="16"/>
      <c r="F17" s="16"/>
      <c r="G17" s="16"/>
      <c r="H17" s="16"/>
      <c r="I17" s="8" t="s">
        <v>1715</v>
      </c>
      <c r="J17" s="16"/>
      <c r="K17" s="16"/>
      <c r="L17" s="16"/>
    </row>
    <row r="18" spans="2:12">
      <c r="B18" s="8">
        <v>13</v>
      </c>
      <c r="C18" s="16" t="s">
        <v>1723</v>
      </c>
      <c r="D18" s="16" t="s">
        <v>1724</v>
      </c>
      <c r="E18" s="16"/>
      <c r="F18" s="16"/>
      <c r="G18" s="16"/>
      <c r="H18" s="16"/>
      <c r="I18" s="8" t="s">
        <v>1516</v>
      </c>
      <c r="J18" s="16">
        <v>255</v>
      </c>
      <c r="K18" s="16"/>
      <c r="L18" s="16"/>
    </row>
    <row r="19" spans="2:12">
      <c r="B19" s="8">
        <v>14</v>
      </c>
      <c r="C19" s="20" t="s">
        <v>27</v>
      </c>
      <c r="D19" s="20" t="s">
        <v>28</v>
      </c>
      <c r="E19" s="20" t="s">
        <v>1072</v>
      </c>
      <c r="F19" s="20" t="s">
        <v>1072</v>
      </c>
      <c r="G19" s="20" t="s">
        <v>1072</v>
      </c>
      <c r="H19" s="20" t="s">
        <v>1072</v>
      </c>
      <c r="I19" s="20" t="s">
        <v>951</v>
      </c>
      <c r="J19" s="20"/>
      <c r="K19" s="30" t="s">
        <v>1511</v>
      </c>
      <c r="L19" s="44" t="s">
        <v>1072</v>
      </c>
    </row>
    <row r="20" spans="2:12">
      <c r="B20" s="8">
        <v>15</v>
      </c>
      <c r="C20" s="20" t="s">
        <v>33</v>
      </c>
      <c r="D20" s="20" t="s">
        <v>34</v>
      </c>
      <c r="E20" s="20" t="s">
        <v>1072</v>
      </c>
      <c r="F20" s="20" t="s">
        <v>1072</v>
      </c>
      <c r="G20" s="20" t="s">
        <v>1072</v>
      </c>
      <c r="H20" s="20" t="s">
        <v>1072</v>
      </c>
      <c r="I20" s="20" t="s">
        <v>947</v>
      </c>
      <c r="J20" s="20"/>
      <c r="K20" s="30" t="s">
        <v>1511</v>
      </c>
      <c r="L20" s="44" t="s">
        <v>1072</v>
      </c>
    </row>
    <row r="21" spans="2:12">
      <c r="B21" s="8">
        <v>16</v>
      </c>
      <c r="C21" s="20" t="s">
        <v>37</v>
      </c>
      <c r="D21" s="20" t="s">
        <v>38</v>
      </c>
      <c r="E21" s="20" t="s">
        <v>1072</v>
      </c>
      <c r="F21" s="20" t="s">
        <v>1072</v>
      </c>
      <c r="G21" s="20" t="s">
        <v>1072</v>
      </c>
      <c r="H21" s="20" t="s">
        <v>1072</v>
      </c>
      <c r="I21" s="20" t="s">
        <v>951</v>
      </c>
      <c r="J21" s="20"/>
      <c r="K21" s="30" t="s">
        <v>1511</v>
      </c>
      <c r="L21" s="44" t="s">
        <v>1072</v>
      </c>
    </row>
    <row r="22" spans="2:12">
      <c r="B22" s="8">
        <v>17</v>
      </c>
      <c r="C22" s="20" t="s">
        <v>43</v>
      </c>
      <c r="D22" s="20" t="s">
        <v>44</v>
      </c>
      <c r="E22" s="20" t="s">
        <v>1072</v>
      </c>
      <c r="F22" s="20" t="s">
        <v>1072</v>
      </c>
      <c r="G22" s="20" t="s">
        <v>1072</v>
      </c>
      <c r="H22" s="20" t="s">
        <v>1072</v>
      </c>
      <c r="I22" s="20" t="s">
        <v>947</v>
      </c>
      <c r="J22" s="20"/>
      <c r="K22" s="30" t="s">
        <v>1511</v>
      </c>
      <c r="L22" s="44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6216D4CE-C205-4330-9486-71F121AED3C5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9A904-A672-48F6-993E-87A3AAFE124E}">
  <sheetPr codeName="Sheet63">
    <tabColor rgb="FFFFFF00"/>
  </sheetPr>
  <dimension ref="A1:N19"/>
  <sheetViews>
    <sheetView workbookViewId="0">
      <selection activeCell="C8" sqref="C8"/>
    </sheetView>
  </sheetViews>
  <sheetFormatPr defaultRowHeight="16.5"/>
  <cols>
    <col min="2" max="2" width="6.875" bestFit="1" customWidth="1"/>
    <col min="3" max="3" width="14.25" bestFit="1" customWidth="1"/>
    <col min="4" max="4" width="19.8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2" ht="20.25">
      <c r="A1" s="4"/>
      <c r="B1" s="361" t="s">
        <v>1492</v>
      </c>
      <c r="D1" s="482" t="s">
        <v>1368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83"/>
      <c r="D3" s="494" t="s">
        <v>120</v>
      </c>
      <c r="E3" s="494"/>
      <c r="F3" s="494"/>
      <c r="G3" s="494"/>
      <c r="H3" s="495" t="s">
        <v>121</v>
      </c>
      <c r="I3" s="495"/>
      <c r="J3" s="495"/>
      <c r="K3" s="11"/>
      <c r="L3" s="11"/>
    </row>
    <row r="4" spans="1:12">
      <c r="A4" s="4"/>
      <c r="B4" s="483" t="s">
        <v>1231</v>
      </c>
      <c r="C4" s="483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s="4"/>
      <c r="B6" s="8">
        <v>1</v>
      </c>
      <c r="C6" s="8" t="s">
        <v>965</v>
      </c>
      <c r="D6" s="42" t="s">
        <v>1736</v>
      </c>
      <c r="E6" s="8" t="s">
        <v>1065</v>
      </c>
      <c r="F6" s="8"/>
      <c r="G6" s="8"/>
      <c r="H6" s="8" t="s">
        <v>1065</v>
      </c>
      <c r="I6" s="26" t="s">
        <v>1737</v>
      </c>
      <c r="J6" s="26">
        <v>10</v>
      </c>
      <c r="K6" s="87"/>
      <c r="L6" s="138"/>
    </row>
    <row r="7" spans="1:12">
      <c r="A7" s="4"/>
      <c r="B7" s="8">
        <v>2</v>
      </c>
      <c r="C7" s="8" t="s">
        <v>1029</v>
      </c>
      <c r="D7" s="42" t="s">
        <v>1738</v>
      </c>
      <c r="E7" s="8"/>
      <c r="F7" s="8"/>
      <c r="G7" s="8"/>
      <c r="H7" s="300" t="s">
        <v>1262</v>
      </c>
      <c r="I7" s="26" t="s">
        <v>1737</v>
      </c>
      <c r="J7" s="26">
        <v>30</v>
      </c>
      <c r="K7" s="87"/>
      <c r="L7" s="143" t="s">
        <v>1739</v>
      </c>
    </row>
    <row r="8" spans="1:12">
      <c r="A8" s="4"/>
      <c r="B8" s="8">
        <v>3</v>
      </c>
      <c r="C8" s="47" t="s">
        <v>1740</v>
      </c>
      <c r="D8" s="8" t="s">
        <v>1741</v>
      </c>
      <c r="E8" s="8"/>
      <c r="F8" s="8"/>
      <c r="G8" s="8"/>
      <c r="H8" s="300" t="s">
        <v>1065</v>
      </c>
      <c r="I8" s="26" t="s">
        <v>944</v>
      </c>
      <c r="J8" s="26"/>
      <c r="K8" s="144"/>
      <c r="L8" s="136"/>
    </row>
    <row r="9" spans="1:12">
      <c r="A9" s="4"/>
      <c r="B9" s="8">
        <v>4</v>
      </c>
      <c r="C9" s="20" t="s">
        <v>27</v>
      </c>
      <c r="D9" s="20" t="s">
        <v>28</v>
      </c>
      <c r="E9" s="20" t="s">
        <v>1072</v>
      </c>
      <c r="F9" s="20" t="s">
        <v>1072</v>
      </c>
      <c r="G9" s="20" t="s">
        <v>1072</v>
      </c>
      <c r="H9" s="20" t="s">
        <v>1072</v>
      </c>
      <c r="I9" s="20" t="s">
        <v>951</v>
      </c>
      <c r="J9" s="20"/>
      <c r="K9" s="30" t="s">
        <v>1511</v>
      </c>
      <c r="L9" s="134" t="s">
        <v>1072</v>
      </c>
    </row>
    <row r="10" spans="1:12">
      <c r="A10" s="4"/>
      <c r="B10" s="8">
        <v>5</v>
      </c>
      <c r="C10" s="20" t="s">
        <v>33</v>
      </c>
      <c r="D10" s="20" t="s">
        <v>34</v>
      </c>
      <c r="E10" s="20" t="s">
        <v>1072</v>
      </c>
      <c r="F10" s="20" t="s">
        <v>1072</v>
      </c>
      <c r="G10" s="20" t="s">
        <v>1072</v>
      </c>
      <c r="H10" s="20" t="s">
        <v>1072</v>
      </c>
      <c r="I10" s="20" t="s">
        <v>947</v>
      </c>
      <c r="J10" s="20"/>
      <c r="K10" s="30" t="s">
        <v>1511</v>
      </c>
      <c r="L10" s="134" t="s">
        <v>1072</v>
      </c>
    </row>
    <row r="11" spans="1:12">
      <c r="A11" s="4"/>
      <c r="B11" s="8">
        <v>6</v>
      </c>
      <c r="C11" s="20" t="s">
        <v>37</v>
      </c>
      <c r="D11" s="20" t="s">
        <v>38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951</v>
      </c>
      <c r="J11" s="20"/>
      <c r="K11" s="30" t="s">
        <v>1511</v>
      </c>
      <c r="L11" s="134" t="s">
        <v>1072</v>
      </c>
    </row>
    <row r="12" spans="1:12">
      <c r="A12" s="4"/>
      <c r="B12" s="8">
        <v>7</v>
      </c>
      <c r="C12" s="20" t="s">
        <v>43</v>
      </c>
      <c r="D12" s="20" t="s">
        <v>44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947</v>
      </c>
      <c r="J12" s="20"/>
      <c r="K12" s="30" t="s">
        <v>1511</v>
      </c>
      <c r="L12" s="44" t="s">
        <v>1072</v>
      </c>
    </row>
    <row r="17" spans="14:14">
      <c r="N17" t="str">
        <f>LOWER(C15)</f>
        <v/>
      </c>
    </row>
    <row r="18" spans="14:14">
      <c r="N18" t="str">
        <f>LOWER(C16)</f>
        <v/>
      </c>
    </row>
    <row r="19" spans="14:14">
      <c r="N19" t="str">
        <f>LOWER(C17)</f>
        <v/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41BA04EA-2CCF-4E29-AB72-CB37BE2536B5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FE7C0-EB81-4C18-9BA6-BF95DA9D3012}">
  <sheetPr codeName="Sheet14">
    <tabColor rgb="FFFFFF00"/>
  </sheetPr>
  <dimension ref="A1:M15"/>
  <sheetViews>
    <sheetView workbookViewId="0">
      <selection activeCell="C7" sqref="C7"/>
    </sheetView>
  </sheetViews>
  <sheetFormatPr defaultRowHeight="16.5"/>
  <cols>
    <col min="2" max="2" width="6.875" bestFit="1" customWidth="1"/>
    <col min="3" max="4" width="19.875" bestFit="1" customWidth="1"/>
    <col min="5" max="5" width="3.75" bestFit="1" customWidth="1"/>
    <col min="6" max="6" width="3.75" customWidth="1"/>
    <col min="7" max="7" width="34.25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3" ht="20.25">
      <c r="A1" s="4"/>
      <c r="B1" s="258" t="s">
        <v>1492</v>
      </c>
      <c r="D1" s="499" t="s">
        <v>1742</v>
      </c>
      <c r="E1" s="499"/>
      <c r="F1" s="499"/>
      <c r="G1" s="499"/>
      <c r="H1" s="499"/>
      <c r="I1" s="499"/>
      <c r="J1" s="499"/>
      <c r="K1" s="499"/>
      <c r="L1" s="499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83"/>
      <c r="D3" s="494" t="s">
        <v>1336</v>
      </c>
      <c r="E3" s="494"/>
      <c r="F3" s="494"/>
      <c r="G3" s="494"/>
      <c r="H3" s="495" t="s">
        <v>1</v>
      </c>
      <c r="I3" s="495"/>
      <c r="J3" s="495"/>
      <c r="K3" s="11"/>
      <c r="L3" s="11"/>
    </row>
    <row r="4" spans="1:13">
      <c r="A4" s="4"/>
      <c r="B4" s="483" t="s">
        <v>1231</v>
      </c>
      <c r="C4" s="483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3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3">
      <c r="A8" s="4"/>
      <c r="B8" s="8">
        <v>3</v>
      </c>
      <c r="C8" s="218" t="s">
        <v>965</v>
      </c>
      <c r="D8" s="8" t="s">
        <v>1743</v>
      </c>
      <c r="E8" s="8"/>
      <c r="F8" s="8"/>
      <c r="G8" s="8"/>
      <c r="H8" s="8" t="s">
        <v>1065</v>
      </c>
      <c r="I8" s="16" t="s">
        <v>947</v>
      </c>
      <c r="J8" s="16">
        <v>18</v>
      </c>
      <c r="K8" s="31"/>
      <c r="L8" s="33"/>
    </row>
    <row r="9" spans="1:13">
      <c r="A9" s="4"/>
      <c r="B9" s="8">
        <v>4</v>
      </c>
      <c r="C9" s="218" t="s">
        <v>1029</v>
      </c>
      <c r="D9" s="8" t="s">
        <v>1744</v>
      </c>
      <c r="E9" s="8"/>
      <c r="F9" s="8"/>
      <c r="G9" s="8"/>
      <c r="H9" s="8" t="s">
        <v>1065</v>
      </c>
      <c r="I9" s="16" t="s">
        <v>947</v>
      </c>
      <c r="J9" s="16">
        <v>100</v>
      </c>
      <c r="K9" s="31"/>
      <c r="L9" s="33"/>
    </row>
    <row r="10" spans="1:13">
      <c r="A10" s="4"/>
      <c r="B10" s="8">
        <v>5</v>
      </c>
      <c r="C10" s="218" t="s">
        <v>1745</v>
      </c>
      <c r="D10" s="8" t="s">
        <v>1746</v>
      </c>
      <c r="E10" s="8"/>
      <c r="F10" s="8"/>
      <c r="G10" s="8"/>
      <c r="H10" s="8"/>
      <c r="I10" s="16" t="s">
        <v>947</v>
      </c>
      <c r="J10" s="16">
        <v>300</v>
      </c>
      <c r="K10" s="33"/>
      <c r="L10" s="33"/>
    </row>
    <row r="11" spans="1:13">
      <c r="A11" s="4"/>
      <c r="B11" s="8">
        <v>6</v>
      </c>
      <c r="C11" s="221" t="s">
        <v>1747</v>
      </c>
      <c r="D11" s="218" t="s">
        <v>1748</v>
      </c>
      <c r="E11" s="218"/>
      <c r="F11" s="218"/>
      <c r="G11" s="218"/>
      <c r="H11" s="218"/>
      <c r="I11" s="219" t="s">
        <v>1516</v>
      </c>
      <c r="J11" s="219">
        <v>3</v>
      </c>
      <c r="K11" s="220"/>
      <c r="L11" s="220" t="s">
        <v>1749</v>
      </c>
    </row>
    <row r="12" spans="1:13">
      <c r="A12" s="4"/>
      <c r="B12" s="8">
        <v>7</v>
      </c>
      <c r="C12" s="218" t="s">
        <v>1750</v>
      </c>
      <c r="D12" s="256" t="s">
        <v>1751</v>
      </c>
      <c r="E12" s="8"/>
      <c r="F12" s="8"/>
      <c r="G12" s="8"/>
      <c r="H12" s="8"/>
      <c r="I12" s="16" t="s">
        <v>947</v>
      </c>
      <c r="J12" s="256">
        <v>20</v>
      </c>
      <c r="K12" s="31"/>
      <c r="L12" s="33"/>
    </row>
    <row r="13" spans="1:13">
      <c r="A13" s="4"/>
      <c r="B13" s="8">
        <v>8</v>
      </c>
      <c r="C13" s="218" t="s">
        <v>1017</v>
      </c>
      <c r="D13" s="8" t="s">
        <v>1752</v>
      </c>
      <c r="E13" s="8"/>
      <c r="F13" s="8"/>
      <c r="G13" s="8"/>
      <c r="H13" s="8"/>
      <c r="I13" s="16" t="s">
        <v>1516</v>
      </c>
      <c r="J13" s="256">
        <v>2</v>
      </c>
      <c r="K13" s="31"/>
      <c r="L13" s="136"/>
    </row>
    <row r="14" spans="1:13">
      <c r="A14" s="4"/>
      <c r="B14" s="8">
        <v>9</v>
      </c>
      <c r="C14" s="218" t="s">
        <v>66</v>
      </c>
      <c r="D14" s="8" t="s">
        <v>1753</v>
      </c>
      <c r="E14" s="8"/>
      <c r="F14" s="8"/>
      <c r="G14" s="8"/>
      <c r="H14" s="8"/>
      <c r="I14" s="16" t="s">
        <v>1516</v>
      </c>
      <c r="J14" s="256">
        <v>20</v>
      </c>
      <c r="K14" s="33"/>
      <c r="L14" s="136"/>
    </row>
    <row r="15" spans="1:13">
      <c r="A15" s="4"/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D04FDCDD-0BE2-4BE5-B426-AED822FFC4C3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143B4-2D38-4715-B214-929D56B3ED6A}">
  <sheetPr codeName="Sheet15">
    <tabColor rgb="FFFFFF00"/>
  </sheetPr>
  <dimension ref="A1:L30"/>
  <sheetViews>
    <sheetView workbookViewId="0">
      <selection activeCell="D6" sqref="D6"/>
    </sheetView>
  </sheetViews>
  <sheetFormatPr defaultRowHeight="16.5"/>
  <cols>
    <col min="2" max="2" width="6.875" bestFit="1" customWidth="1"/>
    <col min="3" max="3" width="14.25" bestFit="1" customWidth="1"/>
    <col min="4" max="4" width="19.875" bestFit="1" customWidth="1"/>
    <col min="5" max="5" width="3.75" bestFit="1" customWidth="1"/>
    <col min="6" max="6" width="3.75" customWidth="1"/>
    <col min="7" max="7" width="21.75" bestFit="1" customWidth="1"/>
    <col min="8" max="8" width="10.5" bestFit="1" customWidth="1"/>
    <col min="9" max="9" width="11.625" bestFit="1" customWidth="1"/>
    <col min="10" max="10" width="8.5" bestFit="1" customWidth="1"/>
    <col min="11" max="11" width="52" bestFit="1" customWidth="1"/>
    <col min="12" max="12" width="34.625" customWidth="1"/>
  </cols>
  <sheetData>
    <row r="1" spans="1:12" ht="20.25">
      <c r="A1" s="4"/>
      <c r="B1" s="258" t="s">
        <v>1492</v>
      </c>
      <c r="D1" s="482" t="s">
        <v>1754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83"/>
      <c r="D3" s="494" t="s">
        <v>118</v>
      </c>
      <c r="E3" s="494"/>
      <c r="F3" s="494"/>
      <c r="G3" s="494"/>
      <c r="H3" s="495" t="s">
        <v>119</v>
      </c>
      <c r="I3" s="495"/>
      <c r="J3" s="495"/>
      <c r="K3" s="11"/>
      <c r="L3" s="11"/>
    </row>
    <row r="4" spans="1:12">
      <c r="A4" s="4"/>
      <c r="B4" s="483" t="s">
        <v>1231</v>
      </c>
      <c r="C4" s="483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7" t="s">
        <v>934</v>
      </c>
      <c r="L5" s="17" t="s">
        <v>935</v>
      </c>
    </row>
    <row r="6" spans="1:12">
      <c r="A6" t="s">
        <v>1650</v>
      </c>
      <c r="B6" s="300">
        <v>1</v>
      </c>
      <c r="C6" s="300" t="s">
        <v>1515</v>
      </c>
      <c r="D6" s="301" t="s">
        <v>1546</v>
      </c>
      <c r="E6" s="300" t="s">
        <v>1065</v>
      </c>
      <c r="F6" s="300"/>
      <c r="G6" s="300"/>
      <c r="H6" s="300" t="s">
        <v>1065</v>
      </c>
      <c r="I6" s="300" t="s">
        <v>947</v>
      </c>
      <c r="J6" s="300">
        <v>20</v>
      </c>
      <c r="K6" s="139"/>
      <c r="L6" s="138"/>
    </row>
    <row r="7" spans="1:12">
      <c r="A7" s="4"/>
      <c r="B7" s="8">
        <v>2</v>
      </c>
      <c r="C7" s="8" t="s">
        <v>965</v>
      </c>
      <c r="D7" s="8" t="s">
        <v>1743</v>
      </c>
      <c r="E7" s="8" t="s">
        <v>1065</v>
      </c>
      <c r="F7" s="8"/>
      <c r="G7" s="8"/>
      <c r="H7" s="8" t="s">
        <v>1065</v>
      </c>
      <c r="I7" s="16" t="s">
        <v>947</v>
      </c>
      <c r="J7" s="16">
        <v>18</v>
      </c>
      <c r="K7" s="31"/>
      <c r="L7" s="33"/>
    </row>
    <row r="8" spans="1:12">
      <c r="A8" s="4"/>
      <c r="B8" s="8">
        <v>3</v>
      </c>
      <c r="C8" s="8" t="s">
        <v>1029</v>
      </c>
      <c r="D8" s="8" t="s">
        <v>1744</v>
      </c>
      <c r="E8" s="8"/>
      <c r="F8" s="8"/>
      <c r="G8" s="8"/>
      <c r="H8" s="8" t="s">
        <v>1065</v>
      </c>
      <c r="I8" s="16" t="s">
        <v>947</v>
      </c>
      <c r="J8" s="16">
        <v>100</v>
      </c>
      <c r="K8" s="31"/>
      <c r="L8" s="33"/>
    </row>
    <row r="9" spans="1:12">
      <c r="A9" s="4"/>
      <c r="B9" s="8">
        <v>4</v>
      </c>
      <c r="C9" s="8" t="s">
        <v>1745</v>
      </c>
      <c r="D9" s="8" t="s">
        <v>1746</v>
      </c>
      <c r="E9" s="8"/>
      <c r="F9" s="8"/>
      <c r="G9" s="8"/>
      <c r="H9" s="8"/>
      <c r="I9" s="16" t="s">
        <v>947</v>
      </c>
      <c r="J9" s="16">
        <v>300</v>
      </c>
      <c r="K9" s="33"/>
      <c r="L9" s="33"/>
    </row>
    <row r="10" spans="1:12">
      <c r="A10" s="4"/>
      <c r="B10" s="305">
        <v>5</v>
      </c>
      <c r="C10" s="306" t="s">
        <v>1747</v>
      </c>
      <c r="D10" s="256" t="s">
        <v>1748</v>
      </c>
      <c r="E10" s="256"/>
      <c r="F10" s="256"/>
      <c r="G10" s="256"/>
      <c r="H10" s="256"/>
      <c r="I10" s="305" t="s">
        <v>1516</v>
      </c>
      <c r="J10" s="305">
        <v>3</v>
      </c>
      <c r="K10" s="33"/>
      <c r="L10" s="33"/>
    </row>
    <row r="11" spans="1:12">
      <c r="A11" s="4"/>
      <c r="B11" s="8">
        <v>6</v>
      </c>
      <c r="C11" s="8" t="s">
        <v>1750</v>
      </c>
      <c r="D11" s="256" t="s">
        <v>1751</v>
      </c>
      <c r="E11" s="8"/>
      <c r="F11" s="8"/>
      <c r="G11" s="8"/>
      <c r="H11" s="8"/>
      <c r="I11" s="16" t="s">
        <v>947</v>
      </c>
      <c r="J11" s="16">
        <v>300</v>
      </c>
      <c r="K11" s="31"/>
      <c r="L11" s="33"/>
    </row>
    <row r="12" spans="1:12">
      <c r="A12" s="4"/>
      <c r="B12" s="8">
        <v>7</v>
      </c>
      <c r="C12" s="8" t="s">
        <v>80</v>
      </c>
      <c r="D12" s="8" t="s">
        <v>1752</v>
      </c>
      <c r="E12" s="8"/>
      <c r="F12" s="8"/>
      <c r="G12" s="8"/>
      <c r="H12" s="8"/>
      <c r="I12" s="256" t="s">
        <v>1019</v>
      </c>
      <c r="J12" s="256"/>
      <c r="K12" s="31"/>
      <c r="L12" s="136"/>
    </row>
    <row r="13" spans="1:12">
      <c r="A13" s="4"/>
      <c r="B13" s="8">
        <v>8</v>
      </c>
      <c r="C13" s="300" t="s">
        <v>1755</v>
      </c>
      <c r="D13" s="300" t="s">
        <v>1756</v>
      </c>
      <c r="E13" s="300"/>
      <c r="F13" s="300"/>
      <c r="G13" s="300"/>
      <c r="H13" s="300"/>
      <c r="I13" s="300" t="s">
        <v>1019</v>
      </c>
      <c r="J13" s="300"/>
      <c r="K13" s="31"/>
      <c r="L13" s="136"/>
    </row>
    <row r="14" spans="1:12">
      <c r="A14" s="4"/>
      <c r="B14" s="8">
        <v>9</v>
      </c>
      <c r="C14" s="8" t="s">
        <v>66</v>
      </c>
      <c r="D14" s="8" t="s">
        <v>1753</v>
      </c>
      <c r="E14" s="8"/>
      <c r="F14" s="8"/>
      <c r="G14" s="8"/>
      <c r="H14" s="8"/>
      <c r="I14" s="256" t="s">
        <v>947</v>
      </c>
      <c r="J14" s="256">
        <v>20</v>
      </c>
      <c r="K14" s="33"/>
      <c r="L14" s="136"/>
    </row>
    <row r="15" spans="1:12" ht="99">
      <c r="B15" s="8">
        <v>10</v>
      </c>
      <c r="C15" s="40" t="s">
        <v>1757</v>
      </c>
      <c r="D15" s="16" t="s">
        <v>1736</v>
      </c>
      <c r="E15" s="16"/>
      <c r="F15" s="8" t="s">
        <v>1065</v>
      </c>
      <c r="G15" s="40" t="s">
        <v>1758</v>
      </c>
      <c r="H15" s="16"/>
      <c r="I15" s="16" t="s">
        <v>1516</v>
      </c>
      <c r="J15" s="16">
        <v>10</v>
      </c>
      <c r="K15" s="174" t="s">
        <v>1759</v>
      </c>
      <c r="L15" s="16"/>
    </row>
    <row r="16" spans="1:12">
      <c r="B16" s="8">
        <v>11</v>
      </c>
      <c r="C16" s="20" t="s">
        <v>27</v>
      </c>
      <c r="D16" s="20" t="s">
        <v>28</v>
      </c>
      <c r="E16" s="20" t="s">
        <v>1072</v>
      </c>
      <c r="F16" s="20" t="s">
        <v>1072</v>
      </c>
      <c r="G16" s="20" t="s">
        <v>1072</v>
      </c>
      <c r="H16" s="20" t="s">
        <v>1072</v>
      </c>
      <c r="I16" s="20" t="s">
        <v>951</v>
      </c>
      <c r="J16" s="20"/>
      <c r="K16" s="30" t="s">
        <v>1511</v>
      </c>
      <c r="L16" s="44" t="s">
        <v>1072</v>
      </c>
    </row>
    <row r="17" spans="2:12">
      <c r="B17" s="8">
        <v>12</v>
      </c>
      <c r="C17" s="20" t="s">
        <v>33</v>
      </c>
      <c r="D17" s="20" t="s">
        <v>34</v>
      </c>
      <c r="E17" s="20" t="s">
        <v>1072</v>
      </c>
      <c r="F17" s="20" t="s">
        <v>1072</v>
      </c>
      <c r="G17" s="20" t="s">
        <v>1072</v>
      </c>
      <c r="H17" s="20" t="s">
        <v>1072</v>
      </c>
      <c r="I17" s="20" t="s">
        <v>947</v>
      </c>
      <c r="J17" s="20"/>
      <c r="K17" s="30" t="s">
        <v>1511</v>
      </c>
      <c r="L17" s="44" t="s">
        <v>1072</v>
      </c>
    </row>
    <row r="18" spans="2:12">
      <c r="B18" s="8">
        <v>13</v>
      </c>
      <c r="C18" s="20" t="s">
        <v>37</v>
      </c>
      <c r="D18" s="20" t="s">
        <v>38</v>
      </c>
      <c r="E18" s="38" t="s">
        <v>1072</v>
      </c>
      <c r="F18" s="38" t="s">
        <v>1072</v>
      </c>
      <c r="G18" s="20" t="s">
        <v>1072</v>
      </c>
      <c r="H18" s="20" t="s">
        <v>1072</v>
      </c>
      <c r="I18" s="20" t="s">
        <v>951</v>
      </c>
      <c r="J18" s="20"/>
      <c r="K18" s="30" t="s">
        <v>1511</v>
      </c>
      <c r="L18" s="44" t="s">
        <v>1072</v>
      </c>
    </row>
    <row r="19" spans="2:12">
      <c r="B19" s="8">
        <v>14</v>
      </c>
      <c r="C19" s="20" t="s">
        <v>43</v>
      </c>
      <c r="D19" s="75" t="s">
        <v>44</v>
      </c>
      <c r="E19" s="20" t="s">
        <v>1072</v>
      </c>
      <c r="F19" s="20" t="s">
        <v>1072</v>
      </c>
      <c r="G19" s="59" t="s">
        <v>1072</v>
      </c>
      <c r="H19" s="20" t="s">
        <v>1072</v>
      </c>
      <c r="I19" s="20" t="s">
        <v>947</v>
      </c>
      <c r="J19" s="20"/>
      <c r="K19" s="30" t="s">
        <v>1511</v>
      </c>
      <c r="L19" s="44" t="s">
        <v>1072</v>
      </c>
    </row>
    <row r="20" spans="2:12">
      <c r="F20" s="41"/>
    </row>
    <row r="24" spans="2:12">
      <c r="E24" s="74"/>
      <c r="F24" s="41"/>
    </row>
    <row r="25" spans="2:12">
      <c r="E25" s="74"/>
      <c r="F25" s="41"/>
    </row>
    <row r="26" spans="2:12">
      <c r="E26" s="74"/>
      <c r="F26" s="41"/>
    </row>
    <row r="27" spans="2:12">
      <c r="E27" s="74"/>
      <c r="F27" s="41"/>
    </row>
    <row r="28" spans="2:12">
      <c r="E28" s="74"/>
      <c r="F28" s="41"/>
    </row>
    <row r="29" spans="2:12">
      <c r="E29" s="74"/>
      <c r="F29" s="41"/>
    </row>
    <row r="30" spans="2:12">
      <c r="E30" s="74"/>
      <c r="F30" s="41"/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38A10499-9577-4D2C-A8E3-EBB44C54D497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080D8-4B84-4D60-B2E0-3B3B4EF12FDE}">
  <sheetPr codeName="Sheet58">
    <tabColor rgb="FFFFFF00"/>
  </sheetPr>
  <dimension ref="A1:M31"/>
  <sheetViews>
    <sheetView topLeftCell="A12" zoomScale="85" zoomScaleNormal="85" workbookViewId="0">
      <selection activeCell="B26" sqref="B26"/>
    </sheetView>
  </sheetViews>
  <sheetFormatPr defaultRowHeight="16.5"/>
  <cols>
    <col min="1" max="1" width="15" customWidth="1"/>
    <col min="2" max="2" width="10.25" bestFit="1" customWidth="1"/>
    <col min="3" max="3" width="21" bestFit="1" customWidth="1"/>
    <col min="4" max="4" width="24.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3" ht="20.25">
      <c r="A1" s="4"/>
      <c r="B1" s="258" t="s">
        <v>1492</v>
      </c>
      <c r="D1" s="482" t="s">
        <v>1760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94" t="s">
        <v>1493</v>
      </c>
      <c r="C3" s="496"/>
      <c r="D3" s="494" t="s">
        <v>1353</v>
      </c>
      <c r="E3" s="495"/>
      <c r="F3" s="495"/>
      <c r="G3" s="496"/>
      <c r="H3" s="495" t="s">
        <v>11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7" t="s">
        <v>934</v>
      </c>
      <c r="L5" s="7" t="s">
        <v>935</v>
      </c>
    </row>
    <row r="6" spans="1:13">
      <c r="A6" s="4"/>
      <c r="B6" s="8">
        <v>1</v>
      </c>
      <c r="C6" s="307" t="s">
        <v>1130</v>
      </c>
      <c r="D6" s="308" t="s">
        <v>1546</v>
      </c>
      <c r="E6" s="39"/>
      <c r="F6" s="20"/>
      <c r="G6" s="20"/>
      <c r="H6" s="20"/>
      <c r="I6" s="20" t="s">
        <v>947</v>
      </c>
      <c r="J6" s="20">
        <v>20</v>
      </c>
      <c r="K6" s="28" t="s">
        <v>962</v>
      </c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3">
      <c r="A8" s="360"/>
      <c r="B8" s="8">
        <v>3</v>
      </c>
      <c r="C8" s="8" t="s">
        <v>46</v>
      </c>
      <c r="D8" s="42" t="s">
        <v>1761</v>
      </c>
      <c r="E8" s="16" t="s">
        <v>1262</v>
      </c>
      <c r="F8" s="8"/>
      <c r="G8" s="8"/>
      <c r="H8" s="16"/>
      <c r="I8" s="16" t="s">
        <v>947</v>
      </c>
      <c r="J8" s="256">
        <v>20</v>
      </c>
      <c r="K8" s="79"/>
      <c r="L8" s="136"/>
    </row>
    <row r="9" spans="1:13">
      <c r="A9" s="360"/>
      <c r="B9" s="8">
        <v>4</v>
      </c>
      <c r="C9" s="161" t="s">
        <v>1762</v>
      </c>
      <c r="D9" s="41" t="s">
        <v>1763</v>
      </c>
      <c r="E9" s="16" t="s">
        <v>1262</v>
      </c>
      <c r="F9" s="8"/>
      <c r="G9" s="8"/>
      <c r="H9" s="16"/>
      <c r="I9" s="16" t="s">
        <v>1614</v>
      </c>
      <c r="J9" s="16">
        <v>6</v>
      </c>
      <c r="K9" s="117" t="s">
        <v>1764</v>
      </c>
      <c r="L9" s="136"/>
    </row>
    <row r="10" spans="1:13">
      <c r="A10" s="4"/>
      <c r="B10" s="8">
        <v>5</v>
      </c>
      <c r="C10" s="256" t="s">
        <v>1765</v>
      </c>
      <c r="D10" s="89" t="s">
        <v>1766</v>
      </c>
      <c r="E10" s="16" t="s">
        <v>1262</v>
      </c>
      <c r="F10" s="8"/>
      <c r="G10" s="8"/>
      <c r="H10" s="8"/>
      <c r="I10" s="16" t="s">
        <v>947</v>
      </c>
      <c r="J10" s="16">
        <v>20</v>
      </c>
      <c r="K10" s="79"/>
      <c r="L10" s="32"/>
    </row>
    <row r="11" spans="1:13">
      <c r="A11" s="360"/>
      <c r="B11" s="8">
        <v>6</v>
      </c>
      <c r="C11" s="359" t="s">
        <v>1048</v>
      </c>
      <c r="D11" s="25" t="s">
        <v>1767</v>
      </c>
      <c r="E11" s="353"/>
      <c r="F11" s="8"/>
      <c r="G11" s="8"/>
      <c r="H11" s="8"/>
      <c r="I11" s="16" t="s">
        <v>947</v>
      </c>
      <c r="J11" s="256">
        <v>20</v>
      </c>
      <c r="K11" s="79"/>
      <c r="L11" s="136"/>
    </row>
    <row r="12" spans="1:13">
      <c r="A12" s="4"/>
      <c r="B12" s="8">
        <v>7</v>
      </c>
      <c r="C12" s="47" t="s">
        <v>74</v>
      </c>
      <c r="D12" s="8" t="s">
        <v>1768</v>
      </c>
      <c r="E12" s="8"/>
      <c r="F12" s="8"/>
      <c r="G12" s="8"/>
      <c r="H12" s="8"/>
      <c r="I12" s="16" t="s">
        <v>947</v>
      </c>
      <c r="J12" s="16">
        <v>300</v>
      </c>
      <c r="K12" s="79"/>
      <c r="L12" s="136"/>
    </row>
    <row r="13" spans="1:13">
      <c r="A13" s="4"/>
      <c r="B13" s="8">
        <v>8</v>
      </c>
      <c r="C13" s="47" t="s">
        <v>1769</v>
      </c>
      <c r="D13" s="8" t="s">
        <v>1770</v>
      </c>
      <c r="E13" s="8"/>
      <c r="F13" s="8"/>
      <c r="G13" s="8"/>
      <c r="H13" s="8"/>
      <c r="I13" s="16" t="s">
        <v>947</v>
      </c>
      <c r="J13" s="16">
        <v>20</v>
      </c>
      <c r="K13" s="79"/>
      <c r="L13" s="136"/>
    </row>
    <row r="14" spans="1:13">
      <c r="A14" s="4"/>
      <c r="B14" s="8">
        <v>9</v>
      </c>
      <c r="C14" s="47" t="s">
        <v>1771</v>
      </c>
      <c r="D14" s="8" t="s">
        <v>1772</v>
      </c>
      <c r="E14" s="8"/>
      <c r="F14" s="8"/>
      <c r="G14" s="8"/>
      <c r="H14" s="8"/>
      <c r="I14" s="16" t="s">
        <v>1027</v>
      </c>
      <c r="J14" s="16">
        <v>8</v>
      </c>
      <c r="K14" s="16"/>
      <c r="L14" s="32"/>
    </row>
    <row r="15" spans="1:13">
      <c r="A15" s="4"/>
      <c r="B15" s="8">
        <v>10</v>
      </c>
      <c r="C15" s="16" t="s">
        <v>108</v>
      </c>
      <c r="D15" s="16" t="s">
        <v>1773</v>
      </c>
      <c r="E15" s="8"/>
      <c r="F15" s="8" t="s">
        <v>1497</v>
      </c>
      <c r="G15" s="8"/>
      <c r="H15" s="8"/>
      <c r="I15" s="16" t="s">
        <v>1027</v>
      </c>
      <c r="J15" s="16">
        <v>8</v>
      </c>
      <c r="K15" s="16"/>
      <c r="L15" s="32"/>
    </row>
    <row r="16" spans="1:13">
      <c r="A16" s="4"/>
      <c r="B16" s="8">
        <v>11</v>
      </c>
      <c r="C16" s="16" t="s">
        <v>1774</v>
      </c>
      <c r="D16" s="16" t="s">
        <v>1775</v>
      </c>
      <c r="E16" s="8"/>
      <c r="F16" s="8"/>
      <c r="G16" s="8"/>
      <c r="H16" s="8"/>
      <c r="I16" s="16" t="s">
        <v>1027</v>
      </c>
      <c r="J16" s="16">
        <v>8</v>
      </c>
      <c r="K16" s="16"/>
      <c r="L16" s="32"/>
    </row>
    <row r="17" spans="1:13">
      <c r="A17" s="4"/>
      <c r="B17" s="8">
        <v>12</v>
      </c>
      <c r="C17" s="16" t="s">
        <v>124</v>
      </c>
      <c r="D17" s="16" t="s">
        <v>1776</v>
      </c>
      <c r="E17" s="16"/>
      <c r="F17" s="16"/>
      <c r="H17" s="16"/>
      <c r="I17" s="256" t="s">
        <v>947</v>
      </c>
      <c r="J17" s="256">
        <v>1</v>
      </c>
      <c r="K17" s="16"/>
      <c r="L17" s="32"/>
    </row>
    <row r="18" spans="1:13">
      <c r="A18" s="4"/>
      <c r="B18" s="8">
        <v>13</v>
      </c>
      <c r="C18" s="16" t="s">
        <v>80</v>
      </c>
      <c r="D18" s="16" t="s">
        <v>1752</v>
      </c>
      <c r="E18" s="16"/>
      <c r="F18" s="16"/>
      <c r="G18" s="16"/>
      <c r="H18" s="16"/>
      <c r="I18" s="256" t="s">
        <v>947</v>
      </c>
      <c r="J18" s="256">
        <v>1</v>
      </c>
      <c r="K18" s="16"/>
      <c r="L18" s="32"/>
    </row>
    <row r="19" spans="1:13">
      <c r="A19" s="4"/>
      <c r="B19" s="8">
        <v>14</v>
      </c>
      <c r="C19" s="16" t="s">
        <v>1777</v>
      </c>
      <c r="D19" s="16" t="s">
        <v>1778</v>
      </c>
      <c r="E19" s="16"/>
      <c r="F19" s="16"/>
      <c r="G19" s="116"/>
      <c r="H19" s="16"/>
      <c r="I19" s="16" t="s">
        <v>947</v>
      </c>
      <c r="J19" s="16">
        <v>20</v>
      </c>
      <c r="K19" s="16"/>
      <c r="L19" s="32"/>
    </row>
    <row r="20" spans="1:13">
      <c r="A20" s="4"/>
      <c r="B20" s="8">
        <v>15</v>
      </c>
      <c r="C20" s="300" t="s">
        <v>1779</v>
      </c>
      <c r="D20" s="430" t="s">
        <v>1780</v>
      </c>
      <c r="E20" s="300"/>
      <c r="F20" s="309"/>
      <c r="G20" s="310"/>
      <c r="H20" s="311"/>
      <c r="I20" s="300" t="s">
        <v>947</v>
      </c>
      <c r="J20" s="300">
        <v>20</v>
      </c>
      <c r="K20" s="16" t="s">
        <v>1781</v>
      </c>
      <c r="L20" s="32"/>
    </row>
    <row r="21" spans="1:13">
      <c r="A21" s="4"/>
      <c r="B21" s="8">
        <v>16</v>
      </c>
      <c r="C21" s="300" t="s">
        <v>1782</v>
      </c>
      <c r="D21" s="300" t="s">
        <v>1783</v>
      </c>
      <c r="E21" s="300"/>
      <c r="F21" s="309"/>
      <c r="G21" s="310"/>
      <c r="H21" s="311"/>
      <c r="I21" s="300" t="s">
        <v>947</v>
      </c>
      <c r="J21" s="300">
        <v>40</v>
      </c>
      <c r="K21" s="16" t="s">
        <v>1781</v>
      </c>
      <c r="L21" s="32"/>
    </row>
    <row r="22" spans="1:13">
      <c r="A22" s="4"/>
      <c r="B22" s="8">
        <v>17</v>
      </c>
      <c r="C22" s="300" t="s">
        <v>1784</v>
      </c>
      <c r="D22" s="300" t="s">
        <v>1785</v>
      </c>
      <c r="E22" s="300"/>
      <c r="F22" s="309"/>
      <c r="G22" s="310"/>
      <c r="H22" s="311"/>
      <c r="I22" s="300" t="s">
        <v>947</v>
      </c>
      <c r="J22" s="300">
        <v>40</v>
      </c>
      <c r="K22" s="16" t="s">
        <v>1781</v>
      </c>
      <c r="L22" s="32"/>
    </row>
    <row r="23" spans="1:13">
      <c r="A23" s="360"/>
      <c r="B23" s="8">
        <v>18</v>
      </c>
      <c r="C23" s="300" t="s">
        <v>1786</v>
      </c>
      <c r="D23" s="300" t="s">
        <v>1787</v>
      </c>
      <c r="E23" s="353"/>
      <c r="F23" s="309"/>
      <c r="G23" s="310"/>
      <c r="H23" s="311"/>
      <c r="I23" s="300" t="s">
        <v>947</v>
      </c>
      <c r="J23" s="300">
        <v>20</v>
      </c>
      <c r="K23" s="16" t="s">
        <v>1781</v>
      </c>
      <c r="L23" s="32"/>
    </row>
    <row r="24" spans="1:13">
      <c r="A24" s="4"/>
      <c r="B24" s="8">
        <v>19</v>
      </c>
      <c r="C24" s="300" t="s">
        <v>1788</v>
      </c>
      <c r="D24" s="300" t="s">
        <v>1789</v>
      </c>
      <c r="E24" s="300"/>
      <c r="F24" s="309"/>
      <c r="G24" s="310"/>
      <c r="H24" s="311"/>
      <c r="I24" s="300" t="s">
        <v>947</v>
      </c>
      <c r="J24" s="300">
        <v>20</v>
      </c>
      <c r="K24" s="16" t="s">
        <v>1781</v>
      </c>
      <c r="L24" s="32"/>
    </row>
    <row r="25" spans="1:13">
      <c r="A25" s="4"/>
      <c r="B25" s="8">
        <v>20</v>
      </c>
      <c r="C25" s="16" t="s">
        <v>1790</v>
      </c>
      <c r="D25" s="16" t="s">
        <v>1791</v>
      </c>
      <c r="E25" s="16"/>
      <c r="F25" s="56"/>
      <c r="G25" s="160"/>
      <c r="H25" s="57"/>
      <c r="I25" s="16" t="s">
        <v>1792</v>
      </c>
      <c r="J25" s="16"/>
      <c r="K25" s="16"/>
      <c r="L25" s="32"/>
    </row>
    <row r="26" spans="1:13">
      <c r="B26" s="8">
        <v>21</v>
      </c>
      <c r="C26" s="16" t="s">
        <v>1793</v>
      </c>
      <c r="D26" s="16" t="s">
        <v>1794</v>
      </c>
      <c r="E26" s="16"/>
      <c r="F26" s="16"/>
      <c r="G26" s="211"/>
      <c r="H26" s="16"/>
      <c r="I26" s="16" t="s">
        <v>1614</v>
      </c>
      <c r="J26" s="16"/>
      <c r="K26" s="16"/>
      <c r="L26" s="32"/>
    </row>
    <row r="27" spans="1:13">
      <c r="B27" s="8">
        <v>22</v>
      </c>
      <c r="C27" s="16" t="s">
        <v>1795</v>
      </c>
      <c r="D27" s="16" t="s">
        <v>1796</v>
      </c>
      <c r="E27" s="16"/>
      <c r="F27" s="16"/>
      <c r="G27" s="16"/>
      <c r="H27" s="16"/>
      <c r="I27" s="16" t="s">
        <v>947</v>
      </c>
      <c r="J27" s="16">
        <v>1</v>
      </c>
      <c r="K27" s="16"/>
      <c r="L27" s="32"/>
    </row>
    <row r="28" spans="1:13">
      <c r="B28" s="8">
        <v>23</v>
      </c>
      <c r="C28" s="313" t="s">
        <v>27</v>
      </c>
      <c r="D28" s="313" t="s">
        <v>28</v>
      </c>
      <c r="E28" s="313" t="s">
        <v>1072</v>
      </c>
      <c r="F28" s="313" t="s">
        <v>1072</v>
      </c>
      <c r="G28" s="313" t="s">
        <v>1072</v>
      </c>
      <c r="H28" s="313" t="s">
        <v>1072</v>
      </c>
      <c r="I28" s="313" t="s">
        <v>951</v>
      </c>
      <c r="J28" s="313"/>
      <c r="K28" s="313" t="s">
        <v>1511</v>
      </c>
      <c r="L28" s="314" t="s">
        <v>1072</v>
      </c>
      <c r="M28" s="3"/>
    </row>
    <row r="29" spans="1:13">
      <c r="B29" s="8">
        <v>24</v>
      </c>
      <c r="C29" s="313" t="s">
        <v>33</v>
      </c>
      <c r="D29" s="313" t="s">
        <v>34</v>
      </c>
      <c r="E29" s="313" t="s">
        <v>1072</v>
      </c>
      <c r="F29" s="313" t="s">
        <v>1072</v>
      </c>
      <c r="G29" s="313" t="s">
        <v>1072</v>
      </c>
      <c r="H29" s="313" t="s">
        <v>1072</v>
      </c>
      <c r="I29" s="313" t="s">
        <v>947</v>
      </c>
      <c r="J29" s="313"/>
      <c r="K29" s="313" t="s">
        <v>1511</v>
      </c>
      <c r="L29" s="314" t="s">
        <v>1072</v>
      </c>
      <c r="M29" s="3"/>
    </row>
    <row r="30" spans="1:13">
      <c r="B30" s="8">
        <v>25</v>
      </c>
      <c r="C30" s="313" t="s">
        <v>37</v>
      </c>
      <c r="D30" s="313" t="s">
        <v>38</v>
      </c>
      <c r="E30" s="313" t="s">
        <v>1072</v>
      </c>
      <c r="F30" s="313" t="s">
        <v>1072</v>
      </c>
      <c r="G30" s="313" t="s">
        <v>1072</v>
      </c>
      <c r="H30" s="313" t="s">
        <v>1072</v>
      </c>
      <c r="I30" s="313" t="s">
        <v>951</v>
      </c>
      <c r="J30" s="313"/>
      <c r="K30" s="313" t="s">
        <v>1511</v>
      </c>
      <c r="L30" s="314" t="s">
        <v>1072</v>
      </c>
      <c r="M30" s="3"/>
    </row>
    <row r="31" spans="1:13">
      <c r="B31" s="8">
        <v>26</v>
      </c>
      <c r="C31" s="313" t="s">
        <v>43</v>
      </c>
      <c r="D31" s="313" t="s">
        <v>44</v>
      </c>
      <c r="E31" s="313" t="s">
        <v>1072</v>
      </c>
      <c r="F31" s="313" t="s">
        <v>1072</v>
      </c>
      <c r="G31" s="313" t="s">
        <v>1072</v>
      </c>
      <c r="H31" s="313" t="s">
        <v>1072</v>
      </c>
      <c r="I31" s="313" t="s">
        <v>947</v>
      </c>
      <c r="J31" s="313"/>
      <c r="K31" s="313" t="s">
        <v>1511</v>
      </c>
      <c r="L31" s="314" t="s">
        <v>1072</v>
      </c>
      <c r="M31" s="3"/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7283577E-82A4-49A4-90C9-6AC3A36F34A2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94302-FA3E-4B7D-83F0-E68F339783D9}">
  <sheetPr codeName="Sheet16">
    <tabColor rgb="FFFFFF00"/>
  </sheetPr>
  <dimension ref="A1:M30"/>
  <sheetViews>
    <sheetView zoomScale="85" zoomScaleNormal="85" workbookViewId="0">
      <selection activeCell="D11" sqref="D11:D12"/>
    </sheetView>
  </sheetViews>
  <sheetFormatPr defaultRowHeight="16.5"/>
  <cols>
    <col min="1" max="1" width="15" customWidth="1"/>
    <col min="2" max="2" width="10.25" bestFit="1" customWidth="1"/>
    <col min="3" max="3" width="21" bestFit="1" customWidth="1"/>
    <col min="4" max="4" width="24.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3" ht="20.25">
      <c r="A1" s="4"/>
      <c r="B1" s="258" t="s">
        <v>1492</v>
      </c>
      <c r="D1" s="482" t="s">
        <v>1797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1345</v>
      </c>
      <c r="E3" s="495"/>
      <c r="F3" s="495"/>
      <c r="G3" s="496"/>
      <c r="H3" s="495" t="s">
        <v>11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7" t="s">
        <v>934</v>
      </c>
      <c r="L5" s="7" t="s">
        <v>935</v>
      </c>
    </row>
    <row r="6" spans="1:13">
      <c r="A6" s="4"/>
      <c r="B6" s="8">
        <v>1</v>
      </c>
      <c r="C6" s="307" t="s">
        <v>1130</v>
      </c>
      <c r="D6" s="308" t="s">
        <v>1546</v>
      </c>
      <c r="E6" s="39"/>
      <c r="F6" s="20"/>
      <c r="G6" s="20"/>
      <c r="H6" s="20"/>
      <c r="I6" s="20" t="s">
        <v>947</v>
      </c>
      <c r="J6" s="20">
        <v>20</v>
      </c>
      <c r="K6" s="28" t="s">
        <v>962</v>
      </c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1798</v>
      </c>
      <c r="M7" t="s">
        <v>1640</v>
      </c>
    </row>
    <row r="8" spans="1:13">
      <c r="A8" s="360"/>
      <c r="B8" s="8">
        <v>3</v>
      </c>
      <c r="C8" s="8" t="s">
        <v>46</v>
      </c>
      <c r="D8" s="42" t="s">
        <v>1761</v>
      </c>
      <c r="E8" s="16" t="s">
        <v>1262</v>
      </c>
      <c r="F8" s="8"/>
      <c r="G8" s="8"/>
      <c r="H8" s="16"/>
      <c r="I8" s="16" t="s">
        <v>947</v>
      </c>
      <c r="J8" s="256">
        <v>20</v>
      </c>
      <c r="K8" s="79"/>
      <c r="L8" s="136"/>
    </row>
    <row r="9" spans="1:13">
      <c r="A9" s="4"/>
      <c r="B9" s="8">
        <v>4</v>
      </c>
      <c r="C9" s="47" t="s">
        <v>74</v>
      </c>
      <c r="D9" s="8" t="s">
        <v>1768</v>
      </c>
      <c r="E9" s="8"/>
      <c r="F9" s="8"/>
      <c r="G9" s="8"/>
      <c r="H9" s="8"/>
      <c r="I9" s="16" t="s">
        <v>947</v>
      </c>
      <c r="J9" s="16">
        <v>300</v>
      </c>
      <c r="K9" s="79"/>
      <c r="L9" s="136"/>
    </row>
    <row r="10" spans="1:13">
      <c r="A10" s="4"/>
      <c r="B10" s="8">
        <v>5</v>
      </c>
      <c r="C10" s="47" t="s">
        <v>1769</v>
      </c>
      <c r="D10" s="8" t="s">
        <v>1770</v>
      </c>
      <c r="E10" s="8"/>
      <c r="F10" s="8"/>
      <c r="G10" s="8"/>
      <c r="H10" s="8"/>
      <c r="I10" s="16" t="s">
        <v>947</v>
      </c>
      <c r="J10" s="16">
        <v>20</v>
      </c>
      <c r="K10" s="79"/>
      <c r="L10" s="136"/>
    </row>
    <row r="11" spans="1:13">
      <c r="A11" s="4"/>
      <c r="B11" s="8">
        <v>6</v>
      </c>
      <c r="C11" s="47" t="s">
        <v>1799</v>
      </c>
      <c r="D11" s="25" t="s">
        <v>1800</v>
      </c>
      <c r="E11" s="8"/>
      <c r="F11" s="8"/>
      <c r="G11" s="8"/>
      <c r="H11" s="8"/>
      <c r="I11" s="16" t="s">
        <v>947</v>
      </c>
      <c r="J11" s="16">
        <v>20</v>
      </c>
      <c r="K11" s="79"/>
      <c r="L11" s="32"/>
    </row>
    <row r="12" spans="1:13">
      <c r="A12" s="4"/>
      <c r="B12" s="8">
        <v>7</v>
      </c>
      <c r="C12" s="256" t="s">
        <v>1765</v>
      </c>
      <c r="D12" s="89" t="s">
        <v>1801</v>
      </c>
      <c r="E12" s="8"/>
      <c r="F12" s="8"/>
      <c r="G12" s="8"/>
      <c r="H12" s="8"/>
      <c r="I12" s="16" t="s">
        <v>947</v>
      </c>
      <c r="J12" s="16">
        <v>20</v>
      </c>
      <c r="K12" s="79"/>
      <c r="L12" s="32"/>
    </row>
    <row r="13" spans="1:13">
      <c r="A13" s="4"/>
      <c r="B13" s="8">
        <v>8</v>
      </c>
      <c r="C13" s="47" t="s">
        <v>1771</v>
      </c>
      <c r="D13" s="8" t="s">
        <v>1772</v>
      </c>
      <c r="E13" s="8"/>
      <c r="F13" s="8"/>
      <c r="G13" s="8"/>
      <c r="H13" s="8"/>
      <c r="I13" s="16" t="s">
        <v>1027</v>
      </c>
      <c r="J13" s="16"/>
      <c r="K13" s="16"/>
      <c r="L13" s="32"/>
    </row>
    <row r="14" spans="1:13">
      <c r="A14" s="4"/>
      <c r="B14" s="8">
        <v>9</v>
      </c>
      <c r="C14" s="16" t="s">
        <v>108</v>
      </c>
      <c r="D14" s="16" t="s">
        <v>1773</v>
      </c>
      <c r="E14" s="8"/>
      <c r="F14" s="8"/>
      <c r="G14" s="8"/>
      <c r="H14" s="8"/>
      <c r="I14" s="16" t="s">
        <v>1027</v>
      </c>
      <c r="J14" s="16"/>
      <c r="K14" s="16"/>
      <c r="L14" s="32"/>
    </row>
    <row r="15" spans="1:13">
      <c r="A15" s="4"/>
      <c r="B15" s="8">
        <v>10</v>
      </c>
      <c r="C15" s="16" t="s">
        <v>1774</v>
      </c>
      <c r="D15" s="16" t="s">
        <v>1775</v>
      </c>
      <c r="E15" s="8"/>
      <c r="F15" s="8"/>
      <c r="G15" s="8"/>
      <c r="H15" s="8"/>
      <c r="I15" s="16" t="s">
        <v>1027</v>
      </c>
      <c r="J15" s="16"/>
      <c r="K15" s="16"/>
      <c r="L15" s="32"/>
    </row>
    <row r="16" spans="1:13">
      <c r="A16" s="4"/>
      <c r="B16" s="8">
        <v>11</v>
      </c>
      <c r="C16" s="16" t="s">
        <v>124</v>
      </c>
      <c r="D16" s="16" t="s">
        <v>1776</v>
      </c>
      <c r="E16" s="16"/>
      <c r="F16" s="16"/>
      <c r="H16" s="16"/>
      <c r="I16" s="256" t="s">
        <v>947</v>
      </c>
      <c r="J16" s="256">
        <v>1</v>
      </c>
      <c r="K16" s="16"/>
      <c r="L16" s="32"/>
    </row>
    <row r="17" spans="1:13">
      <c r="A17" s="4"/>
      <c r="B17" s="8">
        <v>12</v>
      </c>
      <c r="C17" s="16" t="s">
        <v>80</v>
      </c>
      <c r="D17" s="16" t="s">
        <v>1752</v>
      </c>
      <c r="E17" s="16"/>
      <c r="F17" s="16"/>
      <c r="G17" s="16"/>
      <c r="H17" s="16"/>
      <c r="I17" s="256" t="s">
        <v>947</v>
      </c>
      <c r="J17" s="256">
        <v>1</v>
      </c>
      <c r="K17" s="16"/>
      <c r="L17" s="32"/>
    </row>
    <row r="18" spans="1:13">
      <c r="A18" s="4"/>
      <c r="B18" s="8">
        <v>13</v>
      </c>
      <c r="C18" s="16" t="s">
        <v>1777</v>
      </c>
      <c r="D18" s="16" t="s">
        <v>1778</v>
      </c>
      <c r="E18" s="16"/>
      <c r="F18" s="16"/>
      <c r="G18" s="116"/>
      <c r="H18" s="16"/>
      <c r="I18" s="16" t="s">
        <v>947</v>
      </c>
      <c r="J18" s="16">
        <v>20</v>
      </c>
      <c r="K18" s="16"/>
      <c r="L18" s="32"/>
    </row>
    <row r="19" spans="1:13">
      <c r="A19" s="4"/>
      <c r="B19" s="300">
        <v>14</v>
      </c>
      <c r="C19" s="300" t="s">
        <v>1779</v>
      </c>
      <c r="D19" s="300" t="s">
        <v>1802</v>
      </c>
      <c r="E19" s="300"/>
      <c r="F19" s="309"/>
      <c r="G19" s="310"/>
      <c r="H19" s="311"/>
      <c r="I19" s="300" t="s">
        <v>947</v>
      </c>
      <c r="J19" s="300">
        <v>20</v>
      </c>
      <c r="K19" s="16" t="s">
        <v>1781</v>
      </c>
      <c r="L19" s="32"/>
    </row>
    <row r="20" spans="1:13">
      <c r="A20" s="4"/>
      <c r="B20" s="300">
        <v>15</v>
      </c>
      <c r="C20" s="300" t="s">
        <v>1782</v>
      </c>
      <c r="D20" s="300" t="s">
        <v>1783</v>
      </c>
      <c r="E20" s="300"/>
      <c r="F20" s="309"/>
      <c r="G20" s="310"/>
      <c r="H20" s="311"/>
      <c r="I20" s="300" t="s">
        <v>947</v>
      </c>
      <c r="J20" s="300">
        <v>40</v>
      </c>
      <c r="K20" s="16" t="s">
        <v>1781</v>
      </c>
      <c r="L20" s="32"/>
    </row>
    <row r="21" spans="1:13">
      <c r="A21" s="4"/>
      <c r="B21" s="300">
        <v>16</v>
      </c>
      <c r="C21" s="300" t="s">
        <v>1784</v>
      </c>
      <c r="D21" s="300" t="s">
        <v>1785</v>
      </c>
      <c r="E21" s="300"/>
      <c r="F21" s="309"/>
      <c r="G21" s="310"/>
      <c r="H21" s="311"/>
      <c r="I21" s="300" t="s">
        <v>947</v>
      </c>
      <c r="J21" s="300">
        <v>40</v>
      </c>
      <c r="K21" s="16" t="s">
        <v>1781</v>
      </c>
      <c r="L21" s="32"/>
    </row>
    <row r="22" spans="1:13">
      <c r="A22" s="360"/>
      <c r="B22" s="300">
        <v>17</v>
      </c>
      <c r="C22" s="300" t="s">
        <v>1786</v>
      </c>
      <c r="D22" s="300" t="s">
        <v>1787</v>
      </c>
      <c r="E22" s="353"/>
      <c r="F22" s="309"/>
      <c r="G22" s="310"/>
      <c r="H22" s="311"/>
      <c r="I22" s="300" t="s">
        <v>947</v>
      </c>
      <c r="J22" s="300">
        <v>20</v>
      </c>
      <c r="K22" s="16" t="s">
        <v>1781</v>
      </c>
      <c r="L22" s="32"/>
    </row>
    <row r="23" spans="1:13">
      <c r="A23" s="4"/>
      <c r="B23" s="300">
        <v>18</v>
      </c>
      <c r="C23" s="300" t="s">
        <v>1788</v>
      </c>
      <c r="D23" s="300" t="s">
        <v>1789</v>
      </c>
      <c r="E23" s="300"/>
      <c r="F23" s="309"/>
      <c r="G23" s="310"/>
      <c r="H23" s="311"/>
      <c r="I23" s="300" t="s">
        <v>947</v>
      </c>
      <c r="J23" s="300">
        <v>20</v>
      </c>
      <c r="K23" s="16" t="s">
        <v>1781</v>
      </c>
      <c r="L23" s="32"/>
    </row>
    <row r="24" spans="1:13">
      <c r="A24" s="4"/>
      <c r="B24" s="8">
        <v>14</v>
      </c>
      <c r="C24" s="16" t="s">
        <v>1790</v>
      </c>
      <c r="D24" s="16" t="s">
        <v>1791</v>
      </c>
      <c r="E24" s="16"/>
      <c r="F24" s="56"/>
      <c r="G24" s="160"/>
      <c r="H24" s="57"/>
      <c r="I24" s="16" t="s">
        <v>1792</v>
      </c>
      <c r="J24" s="16"/>
      <c r="K24" s="16"/>
      <c r="L24" s="32"/>
    </row>
    <row r="25" spans="1:13">
      <c r="B25" s="8">
        <v>15</v>
      </c>
      <c r="C25" s="16" t="s">
        <v>1793</v>
      </c>
      <c r="D25" s="16" t="s">
        <v>1794</v>
      </c>
      <c r="E25" s="16"/>
      <c r="F25" s="16"/>
      <c r="G25" s="211"/>
      <c r="H25" s="16"/>
      <c r="I25" s="16" t="s">
        <v>1614</v>
      </c>
      <c r="J25" s="16"/>
      <c r="K25" s="16"/>
      <c r="L25" s="32"/>
    </row>
    <row r="26" spans="1:13">
      <c r="B26" s="8">
        <v>16</v>
      </c>
      <c r="C26" s="16" t="s">
        <v>1795</v>
      </c>
      <c r="D26" s="16" t="s">
        <v>1796</v>
      </c>
      <c r="E26" s="16"/>
      <c r="F26" s="16"/>
      <c r="G26" s="16"/>
      <c r="H26" s="16"/>
      <c r="I26" s="16" t="s">
        <v>947</v>
      </c>
      <c r="J26" s="16">
        <v>1</v>
      </c>
      <c r="K26" s="16"/>
      <c r="L26" s="32"/>
    </row>
    <row r="27" spans="1:13">
      <c r="B27" s="300">
        <v>17</v>
      </c>
      <c r="C27" s="313" t="s">
        <v>27</v>
      </c>
      <c r="D27" s="313" t="s">
        <v>28</v>
      </c>
      <c r="E27" s="313" t="s">
        <v>1072</v>
      </c>
      <c r="F27" s="313" t="s">
        <v>1072</v>
      </c>
      <c r="G27" s="313" t="s">
        <v>1072</v>
      </c>
      <c r="H27" s="313" t="s">
        <v>1072</v>
      </c>
      <c r="I27" s="313" t="s">
        <v>951</v>
      </c>
      <c r="J27" s="313"/>
      <c r="K27" s="313" t="s">
        <v>1511</v>
      </c>
      <c r="L27" s="314" t="s">
        <v>1072</v>
      </c>
      <c r="M27" s="3"/>
    </row>
    <row r="28" spans="1:13">
      <c r="B28" s="300">
        <v>18</v>
      </c>
      <c r="C28" s="313" t="s">
        <v>33</v>
      </c>
      <c r="D28" s="313" t="s">
        <v>34</v>
      </c>
      <c r="E28" s="313" t="s">
        <v>1072</v>
      </c>
      <c r="F28" s="313" t="s">
        <v>1072</v>
      </c>
      <c r="G28" s="313" t="s">
        <v>1072</v>
      </c>
      <c r="H28" s="313" t="s">
        <v>1072</v>
      </c>
      <c r="I28" s="313" t="s">
        <v>947</v>
      </c>
      <c r="J28" s="313"/>
      <c r="K28" s="313" t="s">
        <v>1511</v>
      </c>
      <c r="L28" s="314" t="s">
        <v>1072</v>
      </c>
      <c r="M28" s="3"/>
    </row>
    <row r="29" spans="1:13">
      <c r="B29" s="300">
        <v>19</v>
      </c>
      <c r="C29" s="313" t="s">
        <v>37</v>
      </c>
      <c r="D29" s="313" t="s">
        <v>38</v>
      </c>
      <c r="E29" s="313" t="s">
        <v>1072</v>
      </c>
      <c r="F29" s="313" t="s">
        <v>1072</v>
      </c>
      <c r="G29" s="313" t="s">
        <v>1072</v>
      </c>
      <c r="H29" s="313" t="s">
        <v>1072</v>
      </c>
      <c r="I29" s="313" t="s">
        <v>951</v>
      </c>
      <c r="J29" s="313"/>
      <c r="K29" s="313" t="s">
        <v>1511</v>
      </c>
      <c r="L29" s="314" t="s">
        <v>1072</v>
      </c>
      <c r="M29" s="3"/>
    </row>
    <row r="30" spans="1:13">
      <c r="B30" s="300">
        <v>20</v>
      </c>
      <c r="C30" s="313" t="s">
        <v>43</v>
      </c>
      <c r="D30" s="313" t="s">
        <v>44</v>
      </c>
      <c r="E30" s="313" t="s">
        <v>1072</v>
      </c>
      <c r="F30" s="313" t="s">
        <v>1072</v>
      </c>
      <c r="G30" s="313" t="s">
        <v>1072</v>
      </c>
      <c r="H30" s="313" t="s">
        <v>1072</v>
      </c>
      <c r="I30" s="313" t="s">
        <v>947</v>
      </c>
      <c r="J30" s="313"/>
      <c r="K30" s="313" t="s">
        <v>1511</v>
      </c>
      <c r="L30" s="314" t="s">
        <v>1072</v>
      </c>
      <c r="M30" s="3"/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2033FAB8-C3C0-4418-9565-62A91B4BAA26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0823E-4748-4B4A-9728-B73F9319A229}">
  <sheetPr codeName="Sheet17">
    <tabColor rgb="FFFFFF00"/>
  </sheetPr>
  <dimension ref="A1:N46"/>
  <sheetViews>
    <sheetView topLeftCell="D26" zoomScale="90" zoomScaleNormal="70" workbookViewId="0">
      <selection activeCell="K32" sqref="K32"/>
    </sheetView>
  </sheetViews>
  <sheetFormatPr defaultRowHeight="16.5"/>
  <cols>
    <col min="2" max="2" width="9.75" bestFit="1" customWidth="1"/>
    <col min="3" max="3" width="20.5" bestFit="1" customWidth="1"/>
    <col min="4" max="4" width="21.25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1" width="43.75" customWidth="1"/>
    <col min="12" max="12" width="45.875" customWidth="1"/>
    <col min="13" max="13" width="22.375" bestFit="1" customWidth="1"/>
  </cols>
  <sheetData>
    <row r="1" spans="1:14" ht="20.25">
      <c r="A1" s="4"/>
      <c r="B1" s="258" t="s">
        <v>1492</v>
      </c>
      <c r="D1" s="482" t="s">
        <v>1803</v>
      </c>
      <c r="E1" s="482"/>
      <c r="F1" s="482"/>
      <c r="G1" s="482"/>
      <c r="H1" s="482"/>
      <c r="I1" s="482"/>
      <c r="J1" s="482"/>
      <c r="K1" s="482"/>
      <c r="L1" s="482"/>
    </row>
    <row r="2" spans="1:14">
      <c r="A2" s="510"/>
      <c r="B2" s="510"/>
      <c r="C2" s="4"/>
      <c r="D2" s="4" t="s">
        <v>1804</v>
      </c>
      <c r="E2" s="4"/>
      <c r="F2" s="4"/>
      <c r="G2" s="4"/>
      <c r="H2" s="4"/>
      <c r="I2" s="4"/>
      <c r="J2" s="4"/>
      <c r="K2" s="4"/>
      <c r="L2" s="6"/>
    </row>
    <row r="3" spans="1:14">
      <c r="A3" s="4"/>
      <c r="B3" s="483" t="s">
        <v>1493</v>
      </c>
      <c r="C3" s="494"/>
      <c r="D3" s="494" t="s">
        <v>1087</v>
      </c>
      <c r="E3" s="495"/>
      <c r="F3" s="495"/>
      <c r="G3" s="496"/>
      <c r="H3" s="495" t="s">
        <v>137</v>
      </c>
      <c r="I3" s="495"/>
      <c r="J3" s="496"/>
      <c r="K3" s="11"/>
      <c r="L3" s="11"/>
    </row>
    <row r="4" spans="1:14">
      <c r="A4" s="4"/>
      <c r="B4" s="483" t="s">
        <v>1231</v>
      </c>
      <c r="C4" s="494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4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1805</v>
      </c>
      <c r="K5" s="17" t="s">
        <v>934</v>
      </c>
      <c r="L5" s="17" t="s">
        <v>935</v>
      </c>
      <c r="M5" s="7" t="s">
        <v>1806</v>
      </c>
    </row>
    <row r="6" spans="1:14">
      <c r="A6" t="s">
        <v>1650</v>
      </c>
      <c r="B6" s="8">
        <v>1</v>
      </c>
      <c r="C6" s="300" t="s">
        <v>1515</v>
      </c>
      <c r="D6" s="301" t="s">
        <v>1546</v>
      </c>
      <c r="E6" s="300" t="s">
        <v>1065</v>
      </c>
      <c r="F6" s="300"/>
      <c r="G6" s="300"/>
      <c r="H6" s="300" t="s">
        <v>1065</v>
      </c>
      <c r="I6" s="300" t="s">
        <v>947</v>
      </c>
      <c r="J6" s="300">
        <v>20</v>
      </c>
      <c r="K6" s="139"/>
      <c r="L6" s="138"/>
    </row>
    <row r="7" spans="1:14">
      <c r="A7" s="4"/>
      <c r="B7" s="8">
        <v>2</v>
      </c>
      <c r="C7" s="388" t="s">
        <v>46</v>
      </c>
      <c r="D7" s="42" t="s">
        <v>1761</v>
      </c>
      <c r="E7" s="16" t="s">
        <v>1807</v>
      </c>
      <c r="F7" s="8"/>
      <c r="G7" s="8"/>
      <c r="H7" s="16" t="s">
        <v>1807</v>
      </c>
      <c r="I7" s="16" t="s">
        <v>947</v>
      </c>
      <c r="J7" s="300">
        <v>20</v>
      </c>
      <c r="K7" s="157" t="s">
        <v>1808</v>
      </c>
      <c r="L7" s="33"/>
      <c r="M7" s="16" t="s">
        <v>1807</v>
      </c>
    </row>
    <row r="8" spans="1:14">
      <c r="A8" s="4"/>
      <c r="B8" s="8">
        <v>3</v>
      </c>
      <c r="C8" s="389" t="s">
        <v>74</v>
      </c>
      <c r="D8" s="8" t="s">
        <v>1768</v>
      </c>
      <c r="E8" s="8"/>
      <c r="F8" s="8"/>
      <c r="G8" s="8"/>
      <c r="H8" s="8"/>
      <c r="I8" s="16" t="s">
        <v>947</v>
      </c>
      <c r="J8" s="16">
        <v>300</v>
      </c>
      <c r="K8" s="157" t="s">
        <v>1808</v>
      </c>
      <c r="L8" s="136"/>
      <c r="M8" s="16" t="s">
        <v>1807</v>
      </c>
    </row>
    <row r="9" spans="1:14">
      <c r="A9" s="4"/>
      <c r="B9" s="8">
        <v>4</v>
      </c>
      <c r="C9" s="389" t="s">
        <v>1809</v>
      </c>
      <c r="D9" s="15" t="s">
        <v>1810</v>
      </c>
      <c r="E9" s="8"/>
      <c r="F9" s="8"/>
      <c r="G9" s="8"/>
      <c r="H9" s="8"/>
      <c r="I9" s="16" t="s">
        <v>947</v>
      </c>
      <c r="J9" s="16">
        <v>20</v>
      </c>
      <c r="K9" s="157" t="s">
        <v>1808</v>
      </c>
      <c r="L9" s="136"/>
      <c r="M9" s="16" t="s">
        <v>1807</v>
      </c>
    </row>
    <row r="10" spans="1:14">
      <c r="A10" s="4" t="s">
        <v>1811</v>
      </c>
      <c r="B10" s="8">
        <v>5</v>
      </c>
      <c r="C10" s="47" t="s">
        <v>1799</v>
      </c>
      <c r="D10" s="48" t="s">
        <v>1812</v>
      </c>
      <c r="E10" s="8"/>
      <c r="F10" s="8"/>
      <c r="G10" s="8"/>
      <c r="H10" s="8"/>
      <c r="I10" s="16" t="s">
        <v>947</v>
      </c>
      <c r="J10" s="16">
        <v>20</v>
      </c>
      <c r="K10" s="157" t="s">
        <v>1808</v>
      </c>
      <c r="L10" s="136" t="s">
        <v>1813</v>
      </c>
      <c r="M10" s="16" t="s">
        <v>1807</v>
      </c>
      <c r="N10" s="376"/>
    </row>
    <row r="11" spans="1:14">
      <c r="A11" s="4" t="s">
        <v>1811</v>
      </c>
      <c r="B11" s="8">
        <v>6</v>
      </c>
      <c r="C11" s="390" t="s">
        <v>1765</v>
      </c>
      <c r="D11" s="48" t="s">
        <v>1766</v>
      </c>
      <c r="E11" s="8"/>
      <c r="F11" s="8"/>
      <c r="G11" s="8"/>
      <c r="H11" s="8"/>
      <c r="I11" s="16" t="s">
        <v>947</v>
      </c>
      <c r="J11" s="16">
        <v>20</v>
      </c>
      <c r="K11" s="157" t="s">
        <v>1808</v>
      </c>
      <c r="L11" s="136"/>
      <c r="M11" s="16" t="s">
        <v>1807</v>
      </c>
      <c r="N11" s="376"/>
    </row>
    <row r="12" spans="1:14">
      <c r="A12" s="4"/>
      <c r="B12" s="8">
        <v>7</v>
      </c>
      <c r="C12" s="47" t="s">
        <v>1771</v>
      </c>
      <c r="D12" s="8" t="s">
        <v>1772</v>
      </c>
      <c r="E12" s="8"/>
      <c r="F12" s="8"/>
      <c r="G12" s="8"/>
      <c r="H12" s="8"/>
      <c r="I12" s="16" t="s">
        <v>1027</v>
      </c>
      <c r="J12" s="16"/>
      <c r="K12" s="157" t="s">
        <v>1366</v>
      </c>
      <c r="L12" s="32"/>
      <c r="M12" s="16" t="s">
        <v>1807</v>
      </c>
    </row>
    <row r="13" spans="1:14">
      <c r="A13" s="4"/>
      <c r="B13" s="8">
        <v>8</v>
      </c>
      <c r="C13" s="390" t="s">
        <v>1814</v>
      </c>
      <c r="D13" s="16" t="s">
        <v>1773</v>
      </c>
      <c r="E13" s="8"/>
      <c r="F13" s="8"/>
      <c r="G13" s="8"/>
      <c r="H13" s="8"/>
      <c r="I13" s="16" t="s">
        <v>1027</v>
      </c>
      <c r="J13" s="16"/>
      <c r="K13" s="157" t="s">
        <v>1808</v>
      </c>
      <c r="L13" s="32"/>
      <c r="M13" s="16" t="s">
        <v>1807</v>
      </c>
      <c r="N13" s="376" t="s">
        <v>1815</v>
      </c>
    </row>
    <row r="14" spans="1:14">
      <c r="A14" s="4"/>
      <c r="B14" s="8">
        <v>9</v>
      </c>
      <c r="C14" s="390" t="s">
        <v>104</v>
      </c>
      <c r="D14" s="16" t="s">
        <v>1031</v>
      </c>
      <c r="E14" s="8"/>
      <c r="F14" s="8"/>
      <c r="G14" s="8"/>
      <c r="H14" s="8"/>
      <c r="I14" s="16" t="s">
        <v>1027</v>
      </c>
      <c r="J14" s="16"/>
      <c r="K14" s="157" t="s">
        <v>1808</v>
      </c>
      <c r="L14" s="32"/>
      <c r="M14" s="16" t="s">
        <v>1807</v>
      </c>
    </row>
    <row r="15" spans="1:14" ht="33">
      <c r="A15" s="4"/>
      <c r="B15" s="8">
        <v>10</v>
      </c>
      <c r="C15" s="8" t="s">
        <v>1816</v>
      </c>
      <c r="D15" s="8" t="s">
        <v>1817</v>
      </c>
      <c r="E15" s="8"/>
      <c r="F15" s="8"/>
      <c r="G15" s="8"/>
      <c r="H15" s="8"/>
      <c r="I15" s="16" t="s">
        <v>940</v>
      </c>
      <c r="J15" s="16"/>
      <c r="K15" s="42" t="s">
        <v>1818</v>
      </c>
      <c r="L15" s="32"/>
      <c r="M15" s="3"/>
    </row>
    <row r="16" spans="1:14">
      <c r="B16" s="8">
        <v>11</v>
      </c>
      <c r="C16" s="16" t="s">
        <v>1819</v>
      </c>
      <c r="D16" s="16" t="s">
        <v>1820</v>
      </c>
      <c r="E16" s="16"/>
      <c r="F16" s="16"/>
      <c r="H16" s="16"/>
      <c r="I16" s="16" t="s">
        <v>940</v>
      </c>
      <c r="J16" s="16"/>
      <c r="K16" s="157" t="s">
        <v>1821</v>
      </c>
      <c r="L16" s="16"/>
      <c r="M16" s="16" t="s">
        <v>1807</v>
      </c>
    </row>
    <row r="17" spans="1:14">
      <c r="B17" s="8">
        <v>12</v>
      </c>
      <c r="C17" s="390" t="s">
        <v>1822</v>
      </c>
      <c r="D17" s="16" t="s">
        <v>1018</v>
      </c>
      <c r="E17" s="16"/>
      <c r="F17" s="16"/>
      <c r="G17" s="16"/>
      <c r="H17" s="16"/>
      <c r="I17" s="16" t="s">
        <v>940</v>
      </c>
      <c r="J17" s="16"/>
      <c r="K17" s="157" t="s">
        <v>1808</v>
      </c>
      <c r="L17" s="16"/>
      <c r="M17" s="16" t="s">
        <v>1807</v>
      </c>
    </row>
    <row r="18" spans="1:14" ht="33">
      <c r="B18" s="8">
        <v>13</v>
      </c>
      <c r="C18" s="16" t="s">
        <v>1823</v>
      </c>
      <c r="D18" s="16" t="s">
        <v>1824</v>
      </c>
      <c r="E18" s="16"/>
      <c r="F18" s="16"/>
      <c r="G18" s="16"/>
      <c r="H18" s="16"/>
      <c r="I18" s="16" t="s">
        <v>940</v>
      </c>
      <c r="J18" s="16"/>
      <c r="K18" s="213" t="s">
        <v>1825</v>
      </c>
      <c r="L18" s="16"/>
      <c r="M18" s="3"/>
    </row>
    <row r="19" spans="1:14">
      <c r="B19" s="8">
        <v>14</v>
      </c>
      <c r="C19" s="390" t="s">
        <v>1777</v>
      </c>
      <c r="D19" s="16" t="s">
        <v>1778</v>
      </c>
      <c r="E19" s="16"/>
      <c r="F19" s="16"/>
      <c r="G19" s="16"/>
      <c r="H19" s="16"/>
      <c r="I19" s="16" t="s">
        <v>947</v>
      </c>
      <c r="J19" s="16">
        <v>20</v>
      </c>
      <c r="K19" s="157" t="s">
        <v>1808</v>
      </c>
      <c r="L19" s="16"/>
      <c r="M19" s="16" t="s">
        <v>1807</v>
      </c>
    </row>
    <row r="20" spans="1:14" ht="33">
      <c r="B20" s="8">
        <v>15</v>
      </c>
      <c r="C20" s="16" t="s">
        <v>1826</v>
      </c>
      <c r="D20" s="16" t="s">
        <v>1827</v>
      </c>
      <c r="E20" s="16"/>
      <c r="F20" s="16"/>
      <c r="G20" s="16"/>
      <c r="H20" s="16"/>
      <c r="I20" s="16" t="s">
        <v>947</v>
      </c>
      <c r="J20" s="16">
        <v>20</v>
      </c>
      <c r="K20" s="158" t="s">
        <v>1828</v>
      </c>
      <c r="L20" s="16"/>
      <c r="M20" s="3"/>
    </row>
    <row r="21" spans="1:14">
      <c r="B21" s="8">
        <v>16</v>
      </c>
      <c r="C21" s="64" t="s">
        <v>1829</v>
      </c>
      <c r="D21" s="64" t="s">
        <v>1830</v>
      </c>
      <c r="E21" s="16"/>
      <c r="F21" s="16"/>
      <c r="G21" s="16"/>
      <c r="H21" s="16"/>
      <c r="I21" s="16" t="s">
        <v>947</v>
      </c>
      <c r="J21" s="16">
        <v>20</v>
      </c>
      <c r="K21" s="157" t="s">
        <v>1831</v>
      </c>
      <c r="L21" s="16"/>
      <c r="M21" s="3"/>
      <c r="N21" s="374" t="s">
        <v>1832</v>
      </c>
    </row>
    <row r="22" spans="1:14">
      <c r="B22" s="8">
        <v>17</v>
      </c>
      <c r="C22" s="64" t="s">
        <v>1833</v>
      </c>
      <c r="D22" s="64" t="s">
        <v>1834</v>
      </c>
      <c r="E22" s="16"/>
      <c r="F22" s="16"/>
      <c r="G22" s="16"/>
      <c r="H22" s="16"/>
      <c r="I22" s="16" t="s">
        <v>947</v>
      </c>
      <c r="J22" s="16">
        <v>20</v>
      </c>
      <c r="K22" s="157" t="s">
        <v>1831</v>
      </c>
      <c r="L22" s="16"/>
      <c r="M22" s="3"/>
      <c r="N22" s="374" t="s">
        <v>1832</v>
      </c>
    </row>
    <row r="23" spans="1:14">
      <c r="B23" s="8">
        <v>18</v>
      </c>
      <c r="C23" s="64" t="s">
        <v>1835</v>
      </c>
      <c r="D23" s="64" t="s">
        <v>1836</v>
      </c>
      <c r="E23" s="16"/>
      <c r="F23" s="16"/>
      <c r="G23" s="16"/>
      <c r="H23" s="16"/>
      <c r="I23" s="16" t="s">
        <v>947</v>
      </c>
      <c r="J23" s="16">
        <v>20</v>
      </c>
      <c r="K23" s="157" t="s">
        <v>1831</v>
      </c>
      <c r="L23" s="16"/>
      <c r="M23" s="3"/>
      <c r="N23" s="374" t="s">
        <v>1832</v>
      </c>
    </row>
    <row r="24" spans="1:14">
      <c r="B24" s="8">
        <v>19</v>
      </c>
      <c r="C24" s="64" t="s">
        <v>1837</v>
      </c>
      <c r="D24" s="64" t="s">
        <v>1838</v>
      </c>
      <c r="E24" s="16"/>
      <c r="F24" s="16"/>
      <c r="G24" s="16"/>
      <c r="H24" s="16"/>
      <c r="I24" s="16" t="s">
        <v>947</v>
      </c>
      <c r="J24" s="16">
        <v>20</v>
      </c>
      <c r="K24" s="16" t="s">
        <v>1831</v>
      </c>
      <c r="L24" s="16"/>
      <c r="M24" s="3"/>
      <c r="N24" s="374" t="s">
        <v>1832</v>
      </c>
    </row>
    <row r="25" spans="1:14">
      <c r="B25" s="8">
        <v>20</v>
      </c>
      <c r="C25" s="64" t="s">
        <v>1839</v>
      </c>
      <c r="D25" s="64" t="s">
        <v>1840</v>
      </c>
      <c r="E25" s="16"/>
      <c r="F25" s="16"/>
      <c r="G25" s="16"/>
      <c r="H25" s="16"/>
      <c r="I25" s="16" t="s">
        <v>947</v>
      </c>
      <c r="J25" s="16">
        <v>20</v>
      </c>
      <c r="K25" s="16" t="s">
        <v>1831</v>
      </c>
      <c r="L25" s="16"/>
      <c r="M25" s="3"/>
      <c r="N25" s="374" t="s">
        <v>1832</v>
      </c>
    </row>
    <row r="26" spans="1:14">
      <c r="B26" s="8">
        <v>21</v>
      </c>
      <c r="C26" s="64" t="s">
        <v>1841</v>
      </c>
      <c r="D26" s="64" t="s">
        <v>1842</v>
      </c>
      <c r="E26" s="16"/>
      <c r="F26" s="16"/>
      <c r="G26" s="16"/>
      <c r="H26" s="16"/>
      <c r="I26" s="16" t="s">
        <v>947</v>
      </c>
      <c r="J26" s="16">
        <v>20</v>
      </c>
      <c r="K26" s="16" t="s">
        <v>1831</v>
      </c>
      <c r="L26" s="16"/>
      <c r="M26" s="3"/>
      <c r="N26" s="374" t="s">
        <v>1832</v>
      </c>
    </row>
    <row r="27" spans="1:14">
      <c r="A27" t="s">
        <v>1843</v>
      </c>
      <c r="B27" s="8">
        <v>22</v>
      </c>
      <c r="C27" s="201" t="s">
        <v>1779</v>
      </c>
      <c r="D27" s="201" t="s">
        <v>1844</v>
      </c>
      <c r="E27" s="16"/>
      <c r="F27" s="16"/>
      <c r="G27" s="16"/>
      <c r="H27" s="16"/>
      <c r="I27" s="16" t="s">
        <v>947</v>
      </c>
      <c r="J27" s="16">
        <v>20</v>
      </c>
      <c r="K27" s="157" t="s">
        <v>1831</v>
      </c>
      <c r="L27" s="16"/>
      <c r="M27" s="3"/>
    </row>
    <row r="28" spans="1:14">
      <c r="A28" t="s">
        <v>1843</v>
      </c>
      <c r="B28" s="8">
        <v>23</v>
      </c>
      <c r="C28" s="201" t="s">
        <v>1782</v>
      </c>
      <c r="D28" s="201" t="s">
        <v>1783</v>
      </c>
      <c r="E28" s="16"/>
      <c r="F28" s="16"/>
      <c r="G28" s="16"/>
      <c r="H28" s="16"/>
      <c r="I28" s="16" t="s">
        <v>947</v>
      </c>
      <c r="J28" s="16">
        <v>40</v>
      </c>
      <c r="K28" s="157" t="s">
        <v>1831</v>
      </c>
      <c r="L28" s="16"/>
      <c r="M28" s="3"/>
    </row>
    <row r="29" spans="1:14">
      <c r="A29" t="s">
        <v>1843</v>
      </c>
      <c r="B29" s="8">
        <v>24</v>
      </c>
      <c r="C29" s="201" t="s">
        <v>1784</v>
      </c>
      <c r="D29" s="201" t="s">
        <v>1785</v>
      </c>
      <c r="E29" s="16"/>
      <c r="F29" s="16"/>
      <c r="G29" s="16"/>
      <c r="H29" s="16"/>
      <c r="I29" s="16" t="s">
        <v>947</v>
      </c>
      <c r="J29" s="16">
        <v>40</v>
      </c>
      <c r="K29" s="157" t="s">
        <v>1831</v>
      </c>
      <c r="L29" s="16"/>
      <c r="M29" s="3"/>
    </row>
    <row r="30" spans="1:14">
      <c r="A30" t="s">
        <v>1843</v>
      </c>
      <c r="B30" s="8">
        <v>25</v>
      </c>
      <c r="C30" s="201" t="s">
        <v>1786</v>
      </c>
      <c r="D30" s="201" t="s">
        <v>1787</v>
      </c>
      <c r="E30" s="16" t="s">
        <v>1807</v>
      </c>
      <c r="F30" s="16"/>
      <c r="G30" s="16"/>
      <c r="H30" s="16"/>
      <c r="I30" s="16" t="s">
        <v>947</v>
      </c>
      <c r="J30" s="16">
        <v>20</v>
      </c>
      <c r="K30" s="16" t="s">
        <v>1845</v>
      </c>
      <c r="L30" s="16"/>
      <c r="M30" s="3"/>
    </row>
    <row r="31" spans="1:14">
      <c r="A31" t="s">
        <v>1843</v>
      </c>
      <c r="B31" s="8">
        <v>26</v>
      </c>
      <c r="C31" s="201" t="s">
        <v>1788</v>
      </c>
      <c r="D31" s="201" t="s">
        <v>1789</v>
      </c>
      <c r="E31" s="16"/>
      <c r="F31" s="16"/>
      <c r="G31" s="16"/>
      <c r="H31" s="16"/>
      <c r="I31" s="16" t="s">
        <v>947</v>
      </c>
      <c r="J31" s="16">
        <v>20</v>
      </c>
      <c r="K31" s="157" t="s">
        <v>1846</v>
      </c>
      <c r="L31" s="16"/>
      <c r="M31" s="3"/>
    </row>
    <row r="32" spans="1:14" ht="33">
      <c r="B32" s="8">
        <v>27</v>
      </c>
      <c r="C32" s="16" t="s">
        <v>1847</v>
      </c>
      <c r="D32" s="16" t="s">
        <v>1848</v>
      </c>
      <c r="E32" s="16"/>
      <c r="F32" s="16"/>
      <c r="G32" s="16"/>
      <c r="H32" s="16"/>
      <c r="I32" s="16" t="s">
        <v>940</v>
      </c>
      <c r="J32" s="16"/>
      <c r="K32" s="158" t="s">
        <v>1849</v>
      </c>
      <c r="L32" s="16"/>
      <c r="M32" s="3"/>
    </row>
    <row r="33" spans="1:13" s="145" customFormat="1">
      <c r="B33" s="8">
        <v>28</v>
      </c>
      <c r="C33" s="388" t="s">
        <v>1048</v>
      </c>
      <c r="D33" s="8" t="s">
        <v>269</v>
      </c>
      <c r="E33" s="157"/>
      <c r="F33" s="8"/>
      <c r="G33" s="8"/>
      <c r="H33" s="157"/>
      <c r="I33" s="157" t="s">
        <v>947</v>
      </c>
      <c r="J33" s="157">
        <v>30</v>
      </c>
      <c r="K33" s="157" t="s">
        <v>1366</v>
      </c>
      <c r="L33" s="157"/>
      <c r="M33" s="250"/>
    </row>
    <row r="34" spans="1:13" s="145" customFormat="1">
      <c r="B34" s="8">
        <v>29</v>
      </c>
      <c r="C34" s="391" t="s">
        <v>1850</v>
      </c>
      <c r="D34" s="161" t="s">
        <v>1851</v>
      </c>
      <c r="E34" s="203"/>
      <c r="F34" s="203"/>
      <c r="G34" s="203"/>
      <c r="H34" s="203"/>
      <c r="I34" s="203" t="s">
        <v>947</v>
      </c>
      <c r="J34" s="203">
        <v>120</v>
      </c>
      <c r="K34" s="385"/>
      <c r="L34" s="386" t="s">
        <v>1852</v>
      </c>
      <c r="M34" s="222"/>
    </row>
    <row r="35" spans="1:13">
      <c r="A35" s="4"/>
      <c r="B35" s="8">
        <v>30</v>
      </c>
      <c r="C35" s="8" t="s">
        <v>1853</v>
      </c>
      <c r="D35" s="8" t="s">
        <v>1854</v>
      </c>
      <c r="E35" s="16"/>
      <c r="F35" s="16"/>
      <c r="G35" s="8"/>
      <c r="H35" s="16"/>
      <c r="I35" s="16" t="s">
        <v>947</v>
      </c>
      <c r="J35" s="16">
        <v>20</v>
      </c>
      <c r="K35" s="157" t="s">
        <v>1366</v>
      </c>
      <c r="L35" s="33"/>
      <c r="M35" s="3"/>
    </row>
    <row r="36" spans="1:13">
      <c r="A36" s="4"/>
      <c r="B36" s="8">
        <v>31</v>
      </c>
      <c r="C36" s="8" t="s">
        <v>1855</v>
      </c>
      <c r="D36" s="8" t="s">
        <v>1856</v>
      </c>
      <c r="E36" s="16"/>
      <c r="F36" s="16"/>
      <c r="G36" s="8"/>
      <c r="H36" s="16"/>
      <c r="I36" s="16" t="s">
        <v>947</v>
      </c>
      <c r="J36" s="16">
        <v>30</v>
      </c>
      <c r="K36" s="157" t="s">
        <v>1366</v>
      </c>
      <c r="L36" s="33"/>
      <c r="M36" s="3"/>
    </row>
    <row r="37" spans="1:13">
      <c r="A37" s="4"/>
      <c r="B37" s="8">
        <v>32</v>
      </c>
      <c r="C37" s="47" t="s">
        <v>1857</v>
      </c>
      <c r="D37" s="15" t="s">
        <v>1858</v>
      </c>
      <c r="E37" s="8"/>
      <c r="F37" s="8"/>
      <c r="G37" s="8"/>
      <c r="H37" s="8"/>
      <c r="I37" s="16" t="s">
        <v>1053</v>
      </c>
      <c r="J37" s="16" t="s">
        <v>1667</v>
      </c>
      <c r="K37" s="157" t="s">
        <v>1366</v>
      </c>
      <c r="L37" s="32"/>
      <c r="M37" s="3"/>
    </row>
    <row r="38" spans="1:13">
      <c r="B38" s="8">
        <v>33</v>
      </c>
      <c r="C38" s="64" t="s">
        <v>1859</v>
      </c>
      <c r="D38" s="64" t="s">
        <v>1860</v>
      </c>
      <c r="E38" s="16"/>
      <c r="F38" s="16"/>
      <c r="G38" s="16"/>
      <c r="H38" s="16"/>
      <c r="I38" s="16" t="s">
        <v>947</v>
      </c>
      <c r="J38" s="16">
        <v>10</v>
      </c>
      <c r="K38" s="157" t="s">
        <v>1366</v>
      </c>
      <c r="L38" s="16"/>
      <c r="M38" s="3"/>
    </row>
    <row r="39" spans="1:13">
      <c r="B39" s="8">
        <v>34</v>
      </c>
      <c r="C39" s="375" t="s">
        <v>1861</v>
      </c>
      <c r="D39" s="375" t="s">
        <v>1862</v>
      </c>
      <c r="E39" s="16"/>
      <c r="F39" s="16"/>
      <c r="G39" s="16"/>
      <c r="H39" s="16"/>
      <c r="I39" s="16" t="s">
        <v>947</v>
      </c>
      <c r="J39" s="16">
        <v>30</v>
      </c>
      <c r="K39" s="157" t="s">
        <v>1366</v>
      </c>
      <c r="L39" s="16" t="s">
        <v>1863</v>
      </c>
      <c r="M39" s="3"/>
    </row>
    <row r="40" spans="1:13">
      <c r="B40" s="8">
        <v>35</v>
      </c>
      <c r="C40" s="20" t="s">
        <v>27</v>
      </c>
      <c r="D40" s="20" t="s">
        <v>28</v>
      </c>
      <c r="E40" s="20" t="s">
        <v>1072</v>
      </c>
      <c r="F40" s="20" t="s">
        <v>1072</v>
      </c>
      <c r="G40" s="20" t="s">
        <v>1072</v>
      </c>
      <c r="H40" s="20" t="s">
        <v>1072</v>
      </c>
      <c r="I40" s="20" t="s">
        <v>951</v>
      </c>
      <c r="J40" s="20"/>
      <c r="K40" s="20" t="s">
        <v>1511</v>
      </c>
      <c r="L40" s="44" t="s">
        <v>1072</v>
      </c>
      <c r="M40" s="3"/>
    </row>
    <row r="41" spans="1:13">
      <c r="B41" s="8">
        <v>36</v>
      </c>
      <c r="C41" s="20" t="s">
        <v>33</v>
      </c>
      <c r="D41" s="20" t="s">
        <v>34</v>
      </c>
      <c r="E41" s="20" t="s">
        <v>1072</v>
      </c>
      <c r="F41" s="20" t="s">
        <v>1072</v>
      </c>
      <c r="G41" s="20" t="s">
        <v>1072</v>
      </c>
      <c r="H41" s="20" t="s">
        <v>1072</v>
      </c>
      <c r="I41" s="20" t="s">
        <v>947</v>
      </c>
      <c r="J41" s="20"/>
      <c r="K41" s="20" t="s">
        <v>1511</v>
      </c>
      <c r="L41" s="44" t="s">
        <v>1072</v>
      </c>
      <c r="M41" s="3"/>
    </row>
    <row r="42" spans="1:13">
      <c r="B42" s="8">
        <v>37</v>
      </c>
      <c r="C42" s="20" t="s">
        <v>37</v>
      </c>
      <c r="D42" s="20" t="s">
        <v>38</v>
      </c>
      <c r="E42" s="20" t="s">
        <v>1072</v>
      </c>
      <c r="F42" s="20" t="s">
        <v>1072</v>
      </c>
      <c r="G42" s="20" t="s">
        <v>1072</v>
      </c>
      <c r="H42" s="20" t="s">
        <v>1072</v>
      </c>
      <c r="I42" s="20" t="s">
        <v>951</v>
      </c>
      <c r="J42" s="20"/>
      <c r="K42" s="20" t="s">
        <v>1511</v>
      </c>
      <c r="L42" s="44" t="s">
        <v>1072</v>
      </c>
      <c r="M42" s="3"/>
    </row>
    <row r="43" spans="1:13">
      <c r="B43" s="8">
        <v>38</v>
      </c>
      <c r="C43" s="20" t="s">
        <v>43</v>
      </c>
      <c r="D43" s="20" t="s">
        <v>44</v>
      </c>
      <c r="E43" s="20" t="s">
        <v>1072</v>
      </c>
      <c r="F43" s="20" t="s">
        <v>1072</v>
      </c>
      <c r="G43" s="20" t="s">
        <v>1072</v>
      </c>
      <c r="H43" s="20" t="s">
        <v>1072</v>
      </c>
      <c r="I43" s="20" t="s">
        <v>947</v>
      </c>
      <c r="J43" s="20"/>
      <c r="K43" s="20" t="s">
        <v>1511</v>
      </c>
      <c r="L43" s="44" t="s">
        <v>1072</v>
      </c>
      <c r="M43" s="3"/>
    </row>
    <row r="46" spans="1:13">
      <c r="C46" s="173"/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A941096E-A0BB-4A68-B409-70EF586E5FE0}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838CB-FF49-4EF5-8788-173830A91F15}">
  <sheetPr codeName="Sheet64">
    <tabColor rgb="FFFFFF00"/>
  </sheetPr>
  <dimension ref="A1:N20"/>
  <sheetViews>
    <sheetView workbookViewId="0">
      <selection activeCell="B1" sqref="B1"/>
    </sheetView>
  </sheetViews>
  <sheetFormatPr defaultRowHeight="16.5"/>
  <cols>
    <col min="2" max="2" width="6.875" bestFit="1" customWidth="1"/>
    <col min="3" max="3" width="17.5" bestFit="1" customWidth="1"/>
    <col min="4" max="4" width="19.8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2" ht="20.25">
      <c r="A1" s="4"/>
      <c r="B1" s="361" t="s">
        <v>1492</v>
      </c>
      <c r="D1" s="482" t="s">
        <v>1864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83"/>
      <c r="D3" s="494" t="s">
        <v>1362</v>
      </c>
      <c r="E3" s="494"/>
      <c r="F3" s="494"/>
      <c r="G3" s="494"/>
      <c r="H3" s="495" t="s">
        <v>1865</v>
      </c>
      <c r="I3" s="495"/>
      <c r="J3" s="495"/>
      <c r="K3" s="11"/>
      <c r="L3" s="11"/>
    </row>
    <row r="4" spans="1:12">
      <c r="A4" s="4"/>
      <c r="B4" s="483" t="s">
        <v>1231</v>
      </c>
      <c r="C4" s="483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s="4"/>
      <c r="B6" s="8">
        <v>1</v>
      </c>
      <c r="C6" s="256" t="s">
        <v>1515</v>
      </c>
      <c r="D6" s="257" t="s">
        <v>1546</v>
      </c>
      <c r="E6" s="256" t="s">
        <v>1065</v>
      </c>
      <c r="F6" s="256"/>
      <c r="G6" s="256"/>
      <c r="H6" s="256" t="s">
        <v>1065</v>
      </c>
      <c r="I6" s="256" t="s">
        <v>947</v>
      </c>
      <c r="J6" s="256">
        <v>20</v>
      </c>
      <c r="K6" s="87"/>
      <c r="L6" s="138"/>
    </row>
    <row r="7" spans="1:12">
      <c r="A7" s="4"/>
      <c r="B7" s="8">
        <v>2</v>
      </c>
      <c r="C7" s="218" t="s">
        <v>1866</v>
      </c>
      <c r="D7" s="42" t="s">
        <v>1867</v>
      </c>
      <c r="E7" s="8" t="s">
        <v>1065</v>
      </c>
      <c r="F7" s="8"/>
      <c r="G7" s="8"/>
      <c r="H7" s="8" t="s">
        <v>1065</v>
      </c>
      <c r="I7" s="26" t="s">
        <v>1737</v>
      </c>
      <c r="J7" s="26">
        <v>30</v>
      </c>
      <c r="K7" s="87"/>
      <c r="L7" s="138" t="s">
        <v>1868</v>
      </c>
    </row>
    <row r="8" spans="1:12">
      <c r="A8" s="4"/>
      <c r="B8" s="8">
        <v>3</v>
      </c>
      <c r="C8" s="218" t="s">
        <v>1869</v>
      </c>
      <c r="D8" s="42" t="s">
        <v>1870</v>
      </c>
      <c r="E8" s="8"/>
      <c r="F8" s="8"/>
      <c r="G8" s="8"/>
      <c r="H8" s="218" t="s">
        <v>1262</v>
      </c>
      <c r="I8" s="26" t="s">
        <v>1737</v>
      </c>
      <c r="J8" s="26">
        <v>30</v>
      </c>
      <c r="K8" s="87"/>
      <c r="L8" s="143" t="s">
        <v>1871</v>
      </c>
    </row>
    <row r="9" spans="1:12">
      <c r="A9" s="4"/>
      <c r="B9" s="8">
        <v>4</v>
      </c>
      <c r="C9" s="47" t="s">
        <v>1740</v>
      </c>
      <c r="D9" s="8" t="s">
        <v>1741</v>
      </c>
      <c r="E9" s="8"/>
      <c r="F9" s="8"/>
      <c r="G9" s="8"/>
      <c r="H9" s="218" t="s">
        <v>1065</v>
      </c>
      <c r="I9" s="26" t="s">
        <v>944</v>
      </c>
      <c r="J9" s="26"/>
      <c r="K9" s="144"/>
      <c r="L9" s="136"/>
    </row>
    <row r="10" spans="1:12">
      <c r="A10" s="4"/>
      <c r="B10" s="8">
        <v>5</v>
      </c>
      <c r="C10" s="20" t="s">
        <v>27</v>
      </c>
      <c r="D10" s="20" t="s">
        <v>28</v>
      </c>
      <c r="E10" s="20" t="s">
        <v>1072</v>
      </c>
      <c r="F10" s="20" t="s">
        <v>1072</v>
      </c>
      <c r="G10" s="20" t="s">
        <v>1072</v>
      </c>
      <c r="H10" s="20" t="s">
        <v>1072</v>
      </c>
      <c r="I10" s="20" t="s">
        <v>951</v>
      </c>
      <c r="J10" s="20"/>
      <c r="K10" s="30" t="s">
        <v>1511</v>
      </c>
      <c r="L10" s="134" t="s">
        <v>1072</v>
      </c>
    </row>
    <row r="11" spans="1:12">
      <c r="A11" s="4"/>
      <c r="B11" s="8">
        <v>6</v>
      </c>
      <c r="C11" s="20" t="s">
        <v>33</v>
      </c>
      <c r="D11" s="20" t="s">
        <v>34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947</v>
      </c>
      <c r="J11" s="20"/>
      <c r="K11" s="30" t="s">
        <v>1511</v>
      </c>
      <c r="L11" s="134" t="s">
        <v>1072</v>
      </c>
    </row>
    <row r="12" spans="1:12">
      <c r="A12" s="4"/>
      <c r="B12" s="8">
        <v>7</v>
      </c>
      <c r="C12" s="20" t="s">
        <v>37</v>
      </c>
      <c r="D12" s="20" t="s">
        <v>38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951</v>
      </c>
      <c r="J12" s="20"/>
      <c r="K12" s="30" t="s">
        <v>1511</v>
      </c>
      <c r="L12" s="134" t="s">
        <v>1072</v>
      </c>
    </row>
    <row r="13" spans="1:12">
      <c r="A13" s="4"/>
      <c r="B13" s="8">
        <v>8</v>
      </c>
      <c r="C13" s="20" t="s">
        <v>43</v>
      </c>
      <c r="D13" s="20" t="s">
        <v>44</v>
      </c>
      <c r="E13" s="20" t="s">
        <v>1072</v>
      </c>
      <c r="F13" s="20" t="s">
        <v>1072</v>
      </c>
      <c r="G13" s="20" t="s">
        <v>1072</v>
      </c>
      <c r="H13" s="20" t="s">
        <v>1072</v>
      </c>
      <c r="I13" s="20" t="s">
        <v>947</v>
      </c>
      <c r="J13" s="20"/>
      <c r="K13" s="30" t="s">
        <v>1511</v>
      </c>
      <c r="L13" s="44" t="s">
        <v>1072</v>
      </c>
    </row>
    <row r="18" spans="14:14">
      <c r="N18" t="str">
        <f>LOWER(C16)</f>
        <v/>
      </c>
    </row>
    <row r="19" spans="14:14">
      <c r="N19" t="str">
        <f>LOWER(C17)</f>
        <v/>
      </c>
    </row>
    <row r="20" spans="14:14">
      <c r="N20" t="str">
        <f>LOWER(C18)</f>
        <v/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9A95DFFA-4CD5-49C9-8D96-2FC73E5F0427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ACAF3-0262-4EAB-9ADC-1076869DE8F5}">
  <sheetPr codeName="Sheet65">
    <tabColor rgb="FFFFFF00"/>
  </sheetPr>
  <dimension ref="A1:N16"/>
  <sheetViews>
    <sheetView workbookViewId="0">
      <selection activeCell="B6" sqref="B6:L7"/>
    </sheetView>
  </sheetViews>
  <sheetFormatPr defaultRowHeight="16.5"/>
  <cols>
    <col min="2" max="2" width="6.875" bestFit="1" customWidth="1"/>
    <col min="3" max="3" width="17.5" bestFit="1" customWidth="1"/>
    <col min="4" max="4" width="19.8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4" ht="20.25">
      <c r="A1" s="4"/>
      <c r="B1" s="361" t="s">
        <v>1492</v>
      </c>
      <c r="D1" s="482" t="s">
        <v>1365</v>
      </c>
      <c r="E1" s="482"/>
      <c r="F1" s="482"/>
      <c r="G1" s="482"/>
      <c r="H1" s="482"/>
      <c r="I1" s="482"/>
      <c r="J1" s="482"/>
      <c r="K1" s="482"/>
      <c r="L1" s="482"/>
    </row>
    <row r="2" spans="1:14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4">
      <c r="A3" s="4"/>
      <c r="B3" s="483" t="s">
        <v>1493</v>
      </c>
      <c r="C3" s="483"/>
      <c r="D3" s="494" t="s">
        <v>1364</v>
      </c>
      <c r="E3" s="494"/>
      <c r="F3" s="494"/>
      <c r="G3" s="494"/>
      <c r="H3" s="495" t="s">
        <v>1872</v>
      </c>
      <c r="I3" s="495"/>
      <c r="J3" s="495"/>
      <c r="K3" s="11"/>
      <c r="L3" s="11"/>
    </row>
    <row r="4" spans="1:14">
      <c r="A4" s="4"/>
      <c r="B4" s="483" t="s">
        <v>1231</v>
      </c>
      <c r="C4" s="483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4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4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4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4">
      <c r="A8" s="4"/>
      <c r="B8" s="8">
        <v>3</v>
      </c>
      <c r="C8" s="218" t="s">
        <v>1866</v>
      </c>
      <c r="D8" s="42" t="s">
        <v>1867</v>
      </c>
      <c r="E8" s="8" t="s">
        <v>1065</v>
      </c>
      <c r="F8" s="8"/>
      <c r="G8" s="8"/>
      <c r="H8" s="8" t="s">
        <v>1065</v>
      </c>
      <c r="I8" s="26" t="s">
        <v>1737</v>
      </c>
      <c r="J8" s="26">
        <v>30</v>
      </c>
      <c r="K8" s="87"/>
      <c r="L8" s="138" t="s">
        <v>1868</v>
      </c>
    </row>
    <row r="9" spans="1:14">
      <c r="A9" s="4"/>
      <c r="B9" s="8">
        <v>4</v>
      </c>
      <c r="C9" s="218" t="s">
        <v>1869</v>
      </c>
      <c r="D9" s="42" t="s">
        <v>1873</v>
      </c>
      <c r="E9" s="8"/>
      <c r="F9" s="8"/>
      <c r="G9" s="8"/>
      <c r="H9" s="218" t="s">
        <v>1262</v>
      </c>
      <c r="I9" s="26" t="s">
        <v>1737</v>
      </c>
      <c r="J9" s="26">
        <v>30</v>
      </c>
      <c r="K9" s="87"/>
      <c r="L9" s="143" t="s">
        <v>1871</v>
      </c>
    </row>
    <row r="14" spans="1:14">
      <c r="N14" t="str">
        <f>LOWER(C12)</f>
        <v/>
      </c>
    </row>
    <row r="15" spans="1:14">
      <c r="N15" t="str">
        <f>LOWER(C13)</f>
        <v/>
      </c>
    </row>
    <row r="16" spans="1:14">
      <c r="N16" t="str">
        <f>LOWER(C14)</f>
        <v/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8CEF85CB-9E6F-41FB-BC28-D82B47203521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E377E-74D6-4F1D-9B82-5EBFAB3FA944}">
  <sheetPr codeName="Sheet62">
    <tabColor rgb="FFFFFF00"/>
  </sheetPr>
  <dimension ref="A1:M10"/>
  <sheetViews>
    <sheetView workbookViewId="0">
      <selection activeCell="B6" sqref="B6:L7"/>
    </sheetView>
  </sheetViews>
  <sheetFormatPr defaultRowHeight="16.5"/>
  <cols>
    <col min="2" max="2" width="6.875" bestFit="1" customWidth="1"/>
    <col min="3" max="4" width="19.875" bestFit="1" customWidth="1"/>
    <col min="5" max="5" width="3.75" bestFit="1" customWidth="1"/>
    <col min="6" max="6" width="3.75" customWidth="1"/>
    <col min="7" max="7" width="34.25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3" ht="20.25">
      <c r="A1" s="4"/>
      <c r="B1" s="361" t="s">
        <v>1492</v>
      </c>
      <c r="D1" s="500" t="s">
        <v>1367</v>
      </c>
      <c r="E1" s="500"/>
      <c r="F1" s="500"/>
      <c r="G1" s="500"/>
      <c r="H1" s="500"/>
      <c r="I1" s="500"/>
      <c r="J1" s="500"/>
      <c r="K1" s="500"/>
      <c r="L1" s="500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83"/>
      <c r="D3" s="494" t="s">
        <v>1369</v>
      </c>
      <c r="E3" s="494"/>
      <c r="F3" s="494"/>
      <c r="G3" s="494"/>
      <c r="H3" s="495" t="s">
        <v>1874</v>
      </c>
      <c r="I3" s="495"/>
      <c r="J3" s="495"/>
      <c r="K3" s="11"/>
      <c r="L3" s="11"/>
    </row>
    <row r="4" spans="1:13">
      <c r="A4" s="4"/>
      <c r="B4" s="483" t="s">
        <v>1231</v>
      </c>
      <c r="C4" s="483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3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3">
      <c r="A8" s="4"/>
      <c r="B8" s="8">
        <v>3</v>
      </c>
      <c r="C8" s="218" t="s">
        <v>1875</v>
      </c>
      <c r="D8" s="8" t="s">
        <v>1876</v>
      </c>
      <c r="E8" s="8"/>
      <c r="F8" s="8"/>
      <c r="G8" s="8"/>
      <c r="H8" s="8" t="s">
        <v>1065</v>
      </c>
      <c r="I8" s="16" t="s">
        <v>947</v>
      </c>
      <c r="J8" s="16">
        <v>30</v>
      </c>
      <c r="K8" s="31"/>
      <c r="L8" s="33"/>
    </row>
    <row r="9" spans="1:13">
      <c r="A9" s="4"/>
      <c r="B9" s="8">
        <v>4</v>
      </c>
      <c r="C9" s="218" t="s">
        <v>1877</v>
      </c>
      <c r="D9" s="8" t="s">
        <v>1878</v>
      </c>
      <c r="E9" s="8"/>
      <c r="F9" s="8"/>
      <c r="G9" s="8"/>
      <c r="H9" s="8" t="s">
        <v>1065</v>
      </c>
      <c r="I9" s="16" t="s">
        <v>947</v>
      </c>
      <c r="J9" s="16">
        <v>30</v>
      </c>
      <c r="K9" s="31"/>
      <c r="L9" s="33"/>
    </row>
    <row r="10" spans="1:13">
      <c r="A10" s="4"/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3643A2E8-B0ED-4F18-88DF-72B7084FAD3B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38940-4D83-4AA2-9C97-E86BF8B187E1}">
  <sheetPr codeName="Sheet18">
    <tabColor rgb="FFFFFF00"/>
  </sheetPr>
  <dimension ref="A1:N20"/>
  <sheetViews>
    <sheetView workbookViewId="0">
      <selection activeCell="D9" sqref="D9"/>
    </sheetView>
  </sheetViews>
  <sheetFormatPr defaultRowHeight="16.5"/>
  <cols>
    <col min="2" max="2" width="6.875" bestFit="1" customWidth="1"/>
    <col min="3" max="3" width="17.5" bestFit="1" customWidth="1"/>
    <col min="4" max="4" width="19.8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2" ht="20.25">
      <c r="A1" s="4"/>
      <c r="B1" s="258" t="s">
        <v>1492</v>
      </c>
      <c r="D1" s="482" t="s">
        <v>1879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83"/>
      <c r="D3" s="494" t="s">
        <v>120</v>
      </c>
      <c r="E3" s="494"/>
      <c r="F3" s="494"/>
      <c r="G3" s="494"/>
      <c r="H3" s="495" t="s">
        <v>121</v>
      </c>
      <c r="I3" s="495"/>
      <c r="J3" s="495"/>
      <c r="K3" s="11"/>
      <c r="L3" s="11"/>
    </row>
    <row r="4" spans="1:12">
      <c r="A4" s="4"/>
      <c r="B4" s="483" t="s">
        <v>1231</v>
      </c>
      <c r="C4" s="483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s="4"/>
      <c r="B6" s="8">
        <v>1</v>
      </c>
      <c r="C6" s="256" t="s">
        <v>1515</v>
      </c>
      <c r="D6" s="257" t="s">
        <v>1546</v>
      </c>
      <c r="E6" s="256" t="s">
        <v>1065</v>
      </c>
      <c r="F6" s="256"/>
      <c r="G6" s="256"/>
      <c r="H6" s="256" t="s">
        <v>1065</v>
      </c>
      <c r="I6" s="256" t="s">
        <v>947</v>
      </c>
      <c r="J6" s="256">
        <v>20</v>
      </c>
      <c r="K6" s="87"/>
      <c r="L6" s="138"/>
    </row>
    <row r="7" spans="1:12">
      <c r="A7" s="4"/>
      <c r="B7" s="8">
        <v>2</v>
      </c>
      <c r="C7" s="202" t="s">
        <v>1875</v>
      </c>
      <c r="D7" s="42" t="s">
        <v>1876</v>
      </c>
      <c r="E7" s="8" t="s">
        <v>1065</v>
      </c>
      <c r="F7" s="8"/>
      <c r="G7" s="8"/>
      <c r="H7" s="8" t="s">
        <v>1065</v>
      </c>
      <c r="I7" s="26" t="s">
        <v>1737</v>
      </c>
      <c r="J7" s="26">
        <v>30</v>
      </c>
      <c r="K7" s="87"/>
      <c r="L7" s="138" t="s">
        <v>1880</v>
      </c>
    </row>
    <row r="8" spans="1:12">
      <c r="A8" s="4"/>
      <c r="B8" s="8">
        <v>3</v>
      </c>
      <c r="C8" s="202" t="s">
        <v>1877</v>
      </c>
      <c r="D8" s="42" t="s">
        <v>1878</v>
      </c>
      <c r="E8" s="8"/>
      <c r="F8" s="8"/>
      <c r="G8" s="8"/>
      <c r="H8" s="300" t="s">
        <v>1262</v>
      </c>
      <c r="I8" s="26" t="s">
        <v>1737</v>
      </c>
      <c r="J8" s="26">
        <v>30</v>
      </c>
      <c r="K8" s="143"/>
      <c r="L8" s="143" t="s">
        <v>1881</v>
      </c>
    </row>
    <row r="9" spans="1:12">
      <c r="A9" s="4"/>
      <c r="B9" s="8">
        <v>4</v>
      </c>
      <c r="C9" s="47" t="s">
        <v>1740</v>
      </c>
      <c r="D9" s="8" t="s">
        <v>1741</v>
      </c>
      <c r="E9" s="8"/>
      <c r="F9" s="8"/>
      <c r="G9" s="8"/>
      <c r="H9" s="300" t="s">
        <v>1065</v>
      </c>
      <c r="I9" s="26" t="s">
        <v>944</v>
      </c>
      <c r="J9" s="26"/>
      <c r="K9" s="144"/>
      <c r="L9" s="136"/>
    </row>
    <row r="10" spans="1:12">
      <c r="A10" s="4"/>
      <c r="B10" s="8">
        <v>5</v>
      </c>
      <c r="C10" s="20" t="s">
        <v>27</v>
      </c>
      <c r="D10" s="20" t="s">
        <v>28</v>
      </c>
      <c r="E10" s="20" t="s">
        <v>1072</v>
      </c>
      <c r="F10" s="20" t="s">
        <v>1072</v>
      </c>
      <c r="G10" s="20" t="s">
        <v>1072</v>
      </c>
      <c r="H10" s="20" t="s">
        <v>1072</v>
      </c>
      <c r="I10" s="20" t="s">
        <v>951</v>
      </c>
      <c r="J10" s="20"/>
      <c r="K10" s="30" t="s">
        <v>1511</v>
      </c>
      <c r="L10" s="134" t="s">
        <v>1072</v>
      </c>
    </row>
    <row r="11" spans="1:12">
      <c r="A11" s="4"/>
      <c r="B11" s="8">
        <v>6</v>
      </c>
      <c r="C11" s="20" t="s">
        <v>33</v>
      </c>
      <c r="D11" s="20" t="s">
        <v>34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947</v>
      </c>
      <c r="J11" s="20"/>
      <c r="K11" s="30" t="s">
        <v>1511</v>
      </c>
      <c r="L11" s="134" t="s">
        <v>1072</v>
      </c>
    </row>
    <row r="12" spans="1:12">
      <c r="A12" s="4"/>
      <c r="B12" s="8">
        <v>7</v>
      </c>
      <c r="C12" s="20" t="s">
        <v>37</v>
      </c>
      <c r="D12" s="20" t="s">
        <v>38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951</v>
      </c>
      <c r="J12" s="20"/>
      <c r="K12" s="30" t="s">
        <v>1511</v>
      </c>
      <c r="L12" s="134" t="s">
        <v>1072</v>
      </c>
    </row>
    <row r="13" spans="1:12">
      <c r="A13" s="4"/>
      <c r="B13" s="8">
        <v>8</v>
      </c>
      <c r="C13" s="20" t="s">
        <v>43</v>
      </c>
      <c r="D13" s="20" t="s">
        <v>44</v>
      </c>
      <c r="E13" s="20" t="s">
        <v>1072</v>
      </c>
      <c r="F13" s="20" t="s">
        <v>1072</v>
      </c>
      <c r="G13" s="20" t="s">
        <v>1072</v>
      </c>
      <c r="H13" s="20" t="s">
        <v>1072</v>
      </c>
      <c r="I13" s="20" t="s">
        <v>947</v>
      </c>
      <c r="J13" s="20"/>
      <c r="K13" s="30" t="s">
        <v>1511</v>
      </c>
      <c r="L13" s="44" t="s">
        <v>1072</v>
      </c>
    </row>
    <row r="18" spans="14:14">
      <c r="N18" t="str">
        <f>LOWER(C16)</f>
        <v/>
      </c>
    </row>
    <row r="19" spans="14:14">
      <c r="N19" t="str">
        <f>LOWER(C17)</f>
        <v/>
      </c>
    </row>
    <row r="20" spans="14:14">
      <c r="N20" t="str">
        <f>LOWER(C18)</f>
        <v/>
      </c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299563EC-67C0-41AC-98E1-525D7250852A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0A0E9-7CFD-4C4D-8856-40C20DA7674E}">
  <sheetPr codeName="Sheet31">
    <tabColor rgb="FFFFFF00"/>
  </sheetPr>
  <dimension ref="A1:L13"/>
  <sheetViews>
    <sheetView workbookViewId="0">
      <selection activeCell="B1" sqref="B1"/>
    </sheetView>
  </sheetViews>
  <sheetFormatPr defaultRowHeight="16.5"/>
  <cols>
    <col min="2" max="2" width="6.875" bestFit="1" customWidth="1"/>
    <col min="3" max="3" width="14.25" bestFit="1" customWidth="1"/>
    <col min="4" max="4" width="19.875" bestFit="1" customWidth="1"/>
    <col min="5" max="5" width="3.75" bestFit="1" customWidth="1"/>
    <col min="6" max="6" width="3.75" customWidth="1"/>
    <col min="7" max="7" width="19.25" bestFit="1" customWidth="1"/>
    <col min="8" max="8" width="10.5" bestFit="1" customWidth="1"/>
    <col min="9" max="9" width="11.625" bestFit="1" customWidth="1"/>
    <col min="10" max="10" width="6.625" bestFit="1" customWidth="1"/>
    <col min="11" max="12" width="34.625" customWidth="1"/>
  </cols>
  <sheetData>
    <row r="1" spans="1:12" ht="20.25">
      <c r="A1" s="4"/>
      <c r="B1" s="5" t="s">
        <v>1492</v>
      </c>
      <c r="D1" s="482" t="s">
        <v>1882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83"/>
      <c r="D3" s="494" t="s">
        <v>1883</v>
      </c>
      <c r="E3" s="494"/>
      <c r="F3" s="494"/>
      <c r="G3" s="494"/>
      <c r="H3" s="494" t="s">
        <v>1884</v>
      </c>
      <c r="I3" s="495"/>
      <c r="J3" s="496"/>
      <c r="K3" s="11"/>
      <c r="L3" s="11"/>
    </row>
    <row r="4" spans="1:12">
      <c r="A4" s="4"/>
      <c r="B4" s="483" t="s">
        <v>1231</v>
      </c>
      <c r="C4" s="483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s="4"/>
      <c r="B6" s="8">
        <v>1</v>
      </c>
      <c r="C6" s="71" t="s">
        <v>275</v>
      </c>
      <c r="D6" s="72" t="s">
        <v>992</v>
      </c>
      <c r="E6" s="72" t="s">
        <v>1065</v>
      </c>
      <c r="F6" s="8" t="s">
        <v>1065</v>
      </c>
      <c r="G6" s="8" t="s">
        <v>1885</v>
      </c>
      <c r="H6" s="72" t="s">
        <v>1065</v>
      </c>
      <c r="I6" s="72" t="s">
        <v>947</v>
      </c>
      <c r="J6" s="8">
        <v>20</v>
      </c>
      <c r="K6" s="139"/>
      <c r="L6" s="138"/>
    </row>
    <row r="7" spans="1:12">
      <c r="A7" s="4"/>
      <c r="B7" s="8">
        <v>2</v>
      </c>
      <c r="C7" s="8" t="s">
        <v>122</v>
      </c>
      <c r="D7" s="26" t="s">
        <v>123</v>
      </c>
      <c r="E7" s="26" t="s">
        <v>1807</v>
      </c>
      <c r="F7" s="26" t="s">
        <v>1807</v>
      </c>
      <c r="G7" s="8" t="s">
        <v>1886</v>
      </c>
      <c r="H7" s="8" t="s">
        <v>1065</v>
      </c>
      <c r="I7" s="8" t="s">
        <v>947</v>
      </c>
      <c r="J7" s="8">
        <v>10</v>
      </c>
      <c r="K7" s="31"/>
      <c r="L7" s="33"/>
    </row>
    <row r="8" spans="1:12">
      <c r="A8" s="4"/>
      <c r="B8" s="8">
        <v>3</v>
      </c>
      <c r="C8" s="47" t="s">
        <v>270</v>
      </c>
      <c r="D8" s="8" t="s">
        <v>745</v>
      </c>
      <c r="E8" s="282" t="s">
        <v>1065</v>
      </c>
      <c r="F8" s="8"/>
      <c r="G8" s="8"/>
      <c r="H8" s="8" t="s">
        <v>1065</v>
      </c>
      <c r="I8" s="8" t="s">
        <v>947</v>
      </c>
      <c r="J8" s="8">
        <v>4</v>
      </c>
      <c r="K8" s="31"/>
      <c r="L8" s="136"/>
    </row>
    <row r="9" spans="1:12">
      <c r="A9" s="4"/>
      <c r="B9" s="8">
        <v>4</v>
      </c>
      <c r="C9" s="47" t="s">
        <v>1887</v>
      </c>
      <c r="D9" s="8" t="s">
        <v>763</v>
      </c>
      <c r="E9" s="8" t="s">
        <v>1072</v>
      </c>
      <c r="F9" s="8"/>
      <c r="G9" s="8"/>
      <c r="H9" s="300" t="s">
        <v>1065</v>
      </c>
      <c r="I9" s="256" t="s">
        <v>1019</v>
      </c>
      <c r="J9" s="282">
        <v>2</v>
      </c>
      <c r="K9" s="31" t="s">
        <v>1888</v>
      </c>
      <c r="L9" s="232" t="s">
        <v>1070</v>
      </c>
    </row>
    <row r="10" spans="1:12">
      <c r="B10" s="8">
        <v>5</v>
      </c>
      <c r="C10" s="20" t="s">
        <v>27</v>
      </c>
      <c r="D10" s="20" t="s">
        <v>28</v>
      </c>
      <c r="E10" s="20" t="s">
        <v>1072</v>
      </c>
      <c r="F10" s="20" t="s">
        <v>1072</v>
      </c>
      <c r="G10" s="20" t="s">
        <v>1072</v>
      </c>
      <c r="H10" s="20" t="s">
        <v>1072</v>
      </c>
      <c r="I10" s="20" t="s">
        <v>951</v>
      </c>
      <c r="J10" s="20"/>
      <c r="K10" s="30" t="s">
        <v>1511</v>
      </c>
      <c r="L10" s="134" t="s">
        <v>1072</v>
      </c>
    </row>
    <row r="11" spans="1:12">
      <c r="B11" s="8">
        <v>6</v>
      </c>
      <c r="C11" s="20" t="s">
        <v>33</v>
      </c>
      <c r="D11" s="20" t="s">
        <v>34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947</v>
      </c>
      <c r="J11" s="20"/>
      <c r="K11" s="30" t="s">
        <v>1511</v>
      </c>
      <c r="L11" s="134" t="s">
        <v>1072</v>
      </c>
    </row>
    <row r="12" spans="1:12">
      <c r="B12" s="8">
        <v>7</v>
      </c>
      <c r="C12" s="20" t="s">
        <v>37</v>
      </c>
      <c r="D12" s="20" t="s">
        <v>38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951</v>
      </c>
      <c r="J12" s="20"/>
      <c r="K12" s="30" t="s">
        <v>1511</v>
      </c>
      <c r="L12" s="134" t="s">
        <v>1072</v>
      </c>
    </row>
    <row r="13" spans="1:12">
      <c r="B13" s="8">
        <v>8</v>
      </c>
      <c r="C13" s="20" t="s">
        <v>43</v>
      </c>
      <c r="D13" s="20" t="s">
        <v>44</v>
      </c>
      <c r="E13" s="20" t="s">
        <v>1072</v>
      </c>
      <c r="F13" s="20" t="s">
        <v>1072</v>
      </c>
      <c r="G13" s="20" t="s">
        <v>1072</v>
      </c>
      <c r="H13" s="20" t="s">
        <v>1072</v>
      </c>
      <c r="I13" s="20" t="s">
        <v>947</v>
      </c>
      <c r="J13" s="20"/>
      <c r="K13" s="30" t="s">
        <v>1511</v>
      </c>
      <c r="L13" s="44" t="s">
        <v>1072</v>
      </c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E85B9278-4CA9-4BE6-88B3-5155279EC972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C2741-4A5E-4D27-9C0A-01D39F70DBE7}">
  <sheetPr codeName="Sheet59">
    <tabColor rgb="FFFFFF00"/>
  </sheetPr>
  <dimension ref="A1:L12"/>
  <sheetViews>
    <sheetView workbookViewId="0">
      <selection activeCell="D6" sqref="D6"/>
    </sheetView>
  </sheetViews>
  <sheetFormatPr defaultRowHeight="16.5"/>
  <cols>
    <col min="2" max="2" width="6.875" bestFit="1" customWidth="1"/>
    <col min="3" max="3" width="14.25" bestFit="1" customWidth="1"/>
    <col min="4" max="4" width="19.875" bestFit="1" customWidth="1"/>
    <col min="5" max="5" width="3.75" bestFit="1" customWidth="1"/>
    <col min="6" max="6" width="3.75" customWidth="1"/>
    <col min="7" max="7" width="19.25" bestFit="1" customWidth="1"/>
    <col min="8" max="8" width="10.5" bestFit="1" customWidth="1"/>
    <col min="9" max="9" width="11.625" bestFit="1" customWidth="1"/>
    <col min="10" max="10" width="6.625" bestFit="1" customWidth="1"/>
    <col min="11" max="12" width="34.625" customWidth="1"/>
  </cols>
  <sheetData>
    <row r="1" spans="1:12" ht="20.25">
      <c r="A1" s="4"/>
      <c r="B1" s="361" t="s">
        <v>1492</v>
      </c>
      <c r="D1" s="482" t="s">
        <v>1889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83"/>
      <c r="D3" s="494" t="s">
        <v>1321</v>
      </c>
      <c r="E3" s="494"/>
      <c r="F3" s="494"/>
      <c r="G3" s="494"/>
      <c r="H3" s="494" t="s">
        <v>1890</v>
      </c>
      <c r="I3" s="495"/>
      <c r="J3" s="496"/>
      <c r="K3" s="11"/>
      <c r="L3" s="11"/>
    </row>
    <row r="4" spans="1:12">
      <c r="A4" s="4"/>
      <c r="B4" s="483" t="s">
        <v>1231</v>
      </c>
      <c r="C4" s="483"/>
      <c r="D4" s="498" t="s">
        <v>1320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s="4"/>
      <c r="B6" s="8">
        <v>1</v>
      </c>
      <c r="C6" s="8" t="s">
        <v>122</v>
      </c>
      <c r="D6" s="13" t="s">
        <v>1691</v>
      </c>
      <c r="E6" s="26" t="s">
        <v>1807</v>
      </c>
      <c r="F6" s="26" t="s">
        <v>1807</v>
      </c>
      <c r="G6" s="8" t="s">
        <v>1886</v>
      </c>
      <c r="H6" s="8" t="s">
        <v>1065</v>
      </c>
      <c r="I6" s="8" t="s">
        <v>947</v>
      </c>
      <c r="J6" s="8">
        <v>10</v>
      </c>
      <c r="K6" s="139"/>
      <c r="L6" s="138"/>
    </row>
    <row r="7" spans="1:12">
      <c r="A7" s="4"/>
      <c r="B7" s="8">
        <v>2</v>
      </c>
      <c r="C7" s="47" t="s">
        <v>1887</v>
      </c>
      <c r="D7" s="8" t="s">
        <v>763</v>
      </c>
      <c r="E7" s="8" t="s">
        <v>1072</v>
      </c>
      <c r="F7" s="8"/>
      <c r="G7" s="8"/>
      <c r="H7" s="157" t="s">
        <v>1065</v>
      </c>
      <c r="I7" s="157" t="s">
        <v>1019</v>
      </c>
      <c r="J7" s="263"/>
      <c r="K7" s="31" t="s">
        <v>1888</v>
      </c>
      <c r="L7" s="33"/>
    </row>
    <row r="8" spans="1:12">
      <c r="A8" s="4"/>
      <c r="B8" s="8">
        <v>3</v>
      </c>
      <c r="C8" s="47" t="s">
        <v>1891</v>
      </c>
      <c r="D8" s="8" t="s">
        <v>1892</v>
      </c>
      <c r="E8" s="282"/>
      <c r="F8" s="8"/>
      <c r="G8" s="8"/>
      <c r="H8" s="8" t="s">
        <v>1065</v>
      </c>
      <c r="I8" s="8" t="s">
        <v>1516</v>
      </c>
      <c r="J8" s="8">
        <v>20</v>
      </c>
      <c r="K8" s="31" t="s">
        <v>1892</v>
      </c>
      <c r="L8" s="136" t="s">
        <v>1893</v>
      </c>
    </row>
    <row r="9" spans="1:12">
      <c r="B9" s="8">
        <v>5</v>
      </c>
      <c r="C9" s="20" t="s">
        <v>27</v>
      </c>
      <c r="D9" s="20" t="s">
        <v>28</v>
      </c>
      <c r="E9" s="20" t="s">
        <v>1072</v>
      </c>
      <c r="F9" s="20" t="s">
        <v>1072</v>
      </c>
      <c r="G9" s="20" t="s">
        <v>1072</v>
      </c>
      <c r="H9" s="20" t="s">
        <v>1072</v>
      </c>
      <c r="I9" s="20" t="s">
        <v>951</v>
      </c>
      <c r="J9" s="20"/>
      <c r="K9" s="30" t="s">
        <v>1511</v>
      </c>
      <c r="L9" s="134" t="s">
        <v>1072</v>
      </c>
    </row>
    <row r="10" spans="1:12">
      <c r="B10" s="8">
        <v>6</v>
      </c>
      <c r="C10" s="20" t="s">
        <v>33</v>
      </c>
      <c r="D10" s="20" t="s">
        <v>34</v>
      </c>
      <c r="E10" s="20" t="s">
        <v>1072</v>
      </c>
      <c r="F10" s="20" t="s">
        <v>1072</v>
      </c>
      <c r="G10" s="20" t="s">
        <v>1072</v>
      </c>
      <c r="H10" s="20" t="s">
        <v>1072</v>
      </c>
      <c r="I10" s="20" t="s">
        <v>947</v>
      </c>
      <c r="J10" s="20"/>
      <c r="K10" s="30" t="s">
        <v>1511</v>
      </c>
      <c r="L10" s="134" t="s">
        <v>1072</v>
      </c>
    </row>
    <row r="11" spans="1:12">
      <c r="B11" s="8">
        <v>7</v>
      </c>
      <c r="C11" s="20" t="s">
        <v>37</v>
      </c>
      <c r="D11" s="20" t="s">
        <v>38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951</v>
      </c>
      <c r="J11" s="20"/>
      <c r="K11" s="30" t="s">
        <v>1511</v>
      </c>
      <c r="L11" s="134" t="s">
        <v>1072</v>
      </c>
    </row>
    <row r="12" spans="1:12">
      <c r="B12" s="8">
        <v>8</v>
      </c>
      <c r="C12" s="20" t="s">
        <v>43</v>
      </c>
      <c r="D12" s="20" t="s">
        <v>44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947</v>
      </c>
      <c r="J12" s="20"/>
      <c r="K12" s="30" t="s">
        <v>1511</v>
      </c>
      <c r="L12" s="44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0A04663F-3AF9-4EFE-9D35-BFBA57ACF708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E8D04-FD28-49E4-B253-0B833F168325}">
  <sheetPr codeName="Sheet61">
    <tabColor rgb="FFFFFF00"/>
  </sheetPr>
  <dimension ref="A1:L13"/>
  <sheetViews>
    <sheetView zoomScale="115" zoomScaleNormal="115" workbookViewId="0">
      <selection activeCell="D17" sqref="D17"/>
    </sheetView>
  </sheetViews>
  <sheetFormatPr defaultRowHeight="16.5"/>
  <cols>
    <col min="2" max="2" width="6.875" bestFit="1" customWidth="1"/>
    <col min="3" max="3" width="14.25" bestFit="1" customWidth="1"/>
    <col min="4" max="4" width="19.875" bestFit="1" customWidth="1"/>
    <col min="5" max="5" width="3.75" bestFit="1" customWidth="1"/>
    <col min="6" max="6" width="3.75" customWidth="1"/>
    <col min="7" max="7" width="19.5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  <col min="13" max="13" width="35.5" bestFit="1" customWidth="1"/>
  </cols>
  <sheetData>
    <row r="1" spans="1:12" ht="20.25">
      <c r="A1" s="4"/>
      <c r="B1" s="361" t="s">
        <v>1492</v>
      </c>
      <c r="D1" s="482" t="s">
        <v>1894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1895</v>
      </c>
      <c r="E3" s="495"/>
      <c r="F3" s="495"/>
      <c r="G3" s="496"/>
      <c r="H3" s="495" t="s">
        <v>1896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1373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s="4"/>
      <c r="B6" s="8">
        <v>1</v>
      </c>
      <c r="C6" s="8" t="s">
        <v>270</v>
      </c>
      <c r="D6" s="42" t="s">
        <v>1897</v>
      </c>
      <c r="E6" s="26" t="s">
        <v>1807</v>
      </c>
      <c r="F6" s="22"/>
      <c r="G6" s="356"/>
      <c r="H6" s="356" t="s">
        <v>1262</v>
      </c>
      <c r="I6" s="286" t="s">
        <v>947</v>
      </c>
      <c r="J6" s="26">
        <v>4</v>
      </c>
      <c r="K6" s="139"/>
      <c r="L6" s="138"/>
    </row>
    <row r="7" spans="1:12">
      <c r="A7" s="4"/>
      <c r="B7" s="8">
        <v>2</v>
      </c>
      <c r="C7" s="8" t="s">
        <v>41</v>
      </c>
      <c r="D7" s="42" t="s">
        <v>1022</v>
      </c>
      <c r="E7" s="26" t="s">
        <v>1807</v>
      </c>
      <c r="F7" s="285"/>
      <c r="G7" s="355" t="s">
        <v>1898</v>
      </c>
      <c r="H7" s="288"/>
      <c r="I7" s="286" t="s">
        <v>947</v>
      </c>
      <c r="J7" s="26">
        <v>10</v>
      </c>
      <c r="K7" s="33"/>
      <c r="L7" s="33"/>
    </row>
    <row r="8" spans="1:12" s="236" customFormat="1">
      <c r="A8" s="235"/>
      <c r="B8" s="8">
        <v>3</v>
      </c>
      <c r="C8" s="16" t="s">
        <v>1899</v>
      </c>
      <c r="D8" s="380" t="s">
        <v>1900</v>
      </c>
      <c r="E8" s="40"/>
      <c r="F8" s="56"/>
      <c r="G8" s="16"/>
      <c r="H8" s="16"/>
      <c r="I8" s="286" t="s">
        <v>1516</v>
      </c>
      <c r="J8" s="26">
        <v>8</v>
      </c>
      <c r="K8" s="205"/>
      <c r="L8" s="205"/>
    </row>
    <row r="9" spans="1:12">
      <c r="A9" s="4"/>
      <c r="B9" s="8">
        <v>4</v>
      </c>
      <c r="C9" s="47" t="s">
        <v>1901</v>
      </c>
      <c r="D9" s="8" t="s">
        <v>1902</v>
      </c>
      <c r="E9" s="8"/>
      <c r="F9" s="8"/>
      <c r="G9" s="8"/>
      <c r="H9" s="8"/>
      <c r="I9" s="26" t="s">
        <v>1903</v>
      </c>
      <c r="J9" s="26" t="s">
        <v>1904</v>
      </c>
      <c r="K9" s="31"/>
      <c r="L9" s="33"/>
    </row>
    <row r="10" spans="1:12">
      <c r="A10" s="4"/>
      <c r="B10" s="8">
        <v>6</v>
      </c>
      <c r="C10" s="20" t="s">
        <v>27</v>
      </c>
      <c r="D10" s="20" t="s">
        <v>28</v>
      </c>
      <c r="E10" s="20" t="s">
        <v>1072</v>
      </c>
      <c r="F10" s="20" t="s">
        <v>1072</v>
      </c>
      <c r="G10" s="20" t="s">
        <v>1072</v>
      </c>
      <c r="H10" s="20" t="s">
        <v>1072</v>
      </c>
      <c r="I10" s="20" t="s">
        <v>951</v>
      </c>
      <c r="J10" s="20"/>
      <c r="K10" s="30" t="s">
        <v>1511</v>
      </c>
      <c r="L10" s="134" t="s">
        <v>1072</v>
      </c>
    </row>
    <row r="11" spans="1:12">
      <c r="B11" s="8">
        <v>7</v>
      </c>
      <c r="C11" s="20" t="s">
        <v>33</v>
      </c>
      <c r="D11" s="20" t="s">
        <v>34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947</v>
      </c>
      <c r="J11" s="20"/>
      <c r="K11" s="30" t="s">
        <v>1511</v>
      </c>
      <c r="L11" s="134" t="s">
        <v>1072</v>
      </c>
    </row>
    <row r="12" spans="1:12">
      <c r="B12" s="8">
        <v>8</v>
      </c>
      <c r="C12" s="20" t="s">
        <v>37</v>
      </c>
      <c r="D12" s="20" t="s">
        <v>38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951</v>
      </c>
      <c r="J12" s="20"/>
      <c r="K12" s="30" t="s">
        <v>1511</v>
      </c>
      <c r="L12" s="134" t="s">
        <v>1072</v>
      </c>
    </row>
    <row r="13" spans="1:12">
      <c r="B13" s="8">
        <v>9</v>
      </c>
      <c r="C13" s="20" t="s">
        <v>43</v>
      </c>
      <c r="D13" s="20" t="s">
        <v>44</v>
      </c>
      <c r="E13" s="20" t="s">
        <v>1072</v>
      </c>
      <c r="F13" s="20" t="s">
        <v>1072</v>
      </c>
      <c r="G13" s="20" t="s">
        <v>1072</v>
      </c>
      <c r="H13" s="20" t="s">
        <v>1072</v>
      </c>
      <c r="I13" s="20" t="s">
        <v>947</v>
      </c>
      <c r="J13" s="20"/>
      <c r="K13" s="30" t="s">
        <v>1511</v>
      </c>
      <c r="L13" s="44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2DF5E227-0ADB-4BBF-99D6-9C214E34B685}"/>
  </hyperlink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C0874-C347-4620-9BFB-D3FB7BD6C109}">
  <sheetPr codeName="Sheet21">
    <tabColor rgb="FFFFFF00"/>
  </sheetPr>
  <dimension ref="A1:L14"/>
  <sheetViews>
    <sheetView zoomScale="114" zoomScaleNormal="115" workbookViewId="0">
      <selection activeCell="K16" sqref="K16"/>
    </sheetView>
  </sheetViews>
  <sheetFormatPr defaultRowHeight="16.5"/>
  <cols>
    <col min="2" max="2" width="6.875" bestFit="1" customWidth="1"/>
    <col min="3" max="3" width="14.25" bestFit="1" customWidth="1"/>
    <col min="4" max="4" width="19.875" bestFit="1" customWidth="1"/>
    <col min="5" max="5" width="3.75" bestFit="1" customWidth="1"/>
    <col min="6" max="6" width="3.75" customWidth="1"/>
    <col min="7" max="7" width="19.5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  <col min="13" max="13" width="35.5" bestFit="1" customWidth="1"/>
  </cols>
  <sheetData>
    <row r="1" spans="1:12" ht="20.25">
      <c r="A1" s="4"/>
      <c r="B1" s="258" t="s">
        <v>1492</v>
      </c>
      <c r="D1" s="482" t="s">
        <v>1905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887</v>
      </c>
      <c r="E3" s="495"/>
      <c r="F3" s="495"/>
      <c r="G3" s="496"/>
      <c r="H3" s="495" t="s">
        <v>1360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1373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s="4"/>
      <c r="B6" s="8">
        <v>1</v>
      </c>
      <c r="C6" s="8" t="s">
        <v>1082</v>
      </c>
      <c r="D6" s="42" t="s">
        <v>1897</v>
      </c>
      <c r="E6" s="26" t="s">
        <v>1807</v>
      </c>
      <c r="F6" s="22"/>
      <c r="G6" s="287"/>
      <c r="H6" s="287" t="s">
        <v>1262</v>
      </c>
      <c r="I6" s="286" t="s">
        <v>947</v>
      </c>
      <c r="J6" s="26">
        <v>4</v>
      </c>
      <c r="K6" s="139"/>
      <c r="L6" s="138"/>
    </row>
    <row r="7" spans="1:12">
      <c r="A7" s="4"/>
      <c r="B7" s="8">
        <v>2</v>
      </c>
      <c r="C7" s="8" t="s">
        <v>122</v>
      </c>
      <c r="D7" s="406" t="s">
        <v>1691</v>
      </c>
      <c r="E7" s="26" t="s">
        <v>1807</v>
      </c>
      <c r="F7" s="285"/>
      <c r="G7" s="303" t="s">
        <v>1906</v>
      </c>
      <c r="H7" s="288" t="s">
        <v>1262</v>
      </c>
      <c r="I7" s="286" t="s">
        <v>947</v>
      </c>
      <c r="J7" s="26">
        <v>8</v>
      </c>
      <c r="K7" s="33"/>
      <c r="L7" s="33"/>
    </row>
    <row r="8" spans="1:12" s="236" customFormat="1">
      <c r="A8" s="235"/>
      <c r="B8" s="8">
        <v>3</v>
      </c>
      <c r="C8" s="157" t="s">
        <v>1899</v>
      </c>
      <c r="D8" s="158" t="s">
        <v>1900</v>
      </c>
      <c r="E8" s="377"/>
      <c r="F8" s="378"/>
      <c r="G8" s="157"/>
      <c r="H8" s="157"/>
      <c r="I8" s="379" t="s">
        <v>1516</v>
      </c>
      <c r="J8" s="253">
        <v>8</v>
      </c>
      <c r="K8" s="205"/>
      <c r="L8" s="205"/>
    </row>
    <row r="9" spans="1:12">
      <c r="A9" s="4"/>
      <c r="B9" s="8">
        <v>4</v>
      </c>
      <c r="C9" s="47" t="s">
        <v>1901</v>
      </c>
      <c r="D9" s="8" t="s">
        <v>1902</v>
      </c>
      <c r="E9" s="8"/>
      <c r="F9" s="8"/>
      <c r="G9" s="8"/>
      <c r="H9" s="8"/>
      <c r="I9" s="26" t="s">
        <v>1903</v>
      </c>
      <c r="J9" s="26" t="s">
        <v>1904</v>
      </c>
      <c r="K9" s="31"/>
      <c r="L9" s="33"/>
    </row>
    <row r="10" spans="1:12">
      <c r="A10" s="4"/>
      <c r="B10" s="8">
        <v>5</v>
      </c>
      <c r="C10" s="47" t="s">
        <v>1907</v>
      </c>
      <c r="D10" s="8" t="s">
        <v>1908</v>
      </c>
      <c r="E10" s="8"/>
      <c r="F10" s="8"/>
      <c r="G10" s="8"/>
      <c r="H10" s="8"/>
      <c r="I10" s="40" t="s">
        <v>1019</v>
      </c>
      <c r="J10" s="40"/>
      <c r="K10" s="31" t="s">
        <v>1909</v>
      </c>
      <c r="L10" s="33" t="b">
        <v>1</v>
      </c>
    </row>
    <row r="11" spans="1:12">
      <c r="A11" s="4"/>
      <c r="B11" s="8">
        <v>6</v>
      </c>
      <c r="C11" s="20" t="s">
        <v>27</v>
      </c>
      <c r="D11" s="20" t="s">
        <v>28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951</v>
      </c>
      <c r="J11" s="20"/>
      <c r="K11" s="30" t="s">
        <v>1511</v>
      </c>
      <c r="L11" s="134" t="s">
        <v>1072</v>
      </c>
    </row>
    <row r="12" spans="1:12">
      <c r="B12" s="8">
        <v>7</v>
      </c>
      <c r="C12" s="20" t="s">
        <v>33</v>
      </c>
      <c r="D12" s="20" t="s">
        <v>34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947</v>
      </c>
      <c r="J12" s="20"/>
      <c r="K12" s="30" t="s">
        <v>1511</v>
      </c>
      <c r="L12" s="134" t="s">
        <v>1072</v>
      </c>
    </row>
    <row r="13" spans="1:12">
      <c r="B13" s="8">
        <v>8</v>
      </c>
      <c r="C13" s="20" t="s">
        <v>37</v>
      </c>
      <c r="D13" s="20" t="s">
        <v>38</v>
      </c>
      <c r="E13" s="20" t="s">
        <v>1072</v>
      </c>
      <c r="F13" s="20" t="s">
        <v>1072</v>
      </c>
      <c r="G13" s="20" t="s">
        <v>1072</v>
      </c>
      <c r="H13" s="20" t="s">
        <v>1072</v>
      </c>
      <c r="I13" s="20" t="s">
        <v>951</v>
      </c>
      <c r="J13" s="20"/>
      <c r="K13" s="30" t="s">
        <v>1511</v>
      </c>
      <c r="L13" s="134" t="s">
        <v>1072</v>
      </c>
    </row>
    <row r="14" spans="1:12">
      <c r="B14" s="8">
        <v>9</v>
      </c>
      <c r="C14" s="20" t="s">
        <v>43</v>
      </c>
      <c r="D14" s="20" t="s">
        <v>44</v>
      </c>
      <c r="E14" s="20" t="s">
        <v>1072</v>
      </c>
      <c r="F14" s="20" t="s">
        <v>1072</v>
      </c>
      <c r="G14" s="20" t="s">
        <v>1072</v>
      </c>
      <c r="H14" s="20" t="s">
        <v>1072</v>
      </c>
      <c r="I14" s="20" t="s">
        <v>947</v>
      </c>
      <c r="J14" s="20"/>
      <c r="K14" s="30" t="s">
        <v>1511</v>
      </c>
      <c r="L14" s="44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0A855B6A-44E5-4D6C-AF36-D1F0F3E33C59}"/>
  </hyperlink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68899-B12A-4F4B-A773-AEFA2A417D83}">
  <sheetPr codeName="Sheet47">
    <tabColor rgb="FF92D050"/>
  </sheetPr>
  <dimension ref="A1:M58"/>
  <sheetViews>
    <sheetView workbookViewId="0">
      <selection activeCell="C16" sqref="C16"/>
    </sheetView>
  </sheetViews>
  <sheetFormatPr defaultRowHeight="16.5"/>
  <cols>
    <col min="2" max="2" width="6.875" bestFit="1" customWidth="1"/>
    <col min="3" max="3" width="19.5" customWidth="1"/>
    <col min="4" max="4" width="25.12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  <col min="13" max="13" width="9" bestFit="1" customWidth="1"/>
  </cols>
  <sheetData>
    <row r="1" spans="1:13" ht="20.25">
      <c r="A1" s="4"/>
      <c r="B1" s="258" t="s">
        <v>1492</v>
      </c>
      <c r="C1" s="482" t="s">
        <v>1910</v>
      </c>
      <c r="D1" s="482"/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7" t="s">
        <v>1493</v>
      </c>
      <c r="C3" s="502" t="s">
        <v>1911</v>
      </c>
      <c r="D3" s="502"/>
      <c r="E3" s="502"/>
      <c r="F3" s="502"/>
      <c r="G3" s="502"/>
      <c r="H3" s="502" t="s">
        <v>255</v>
      </c>
      <c r="I3" s="502"/>
      <c r="J3" s="502"/>
      <c r="K3" s="11"/>
      <c r="L3" s="11"/>
    </row>
    <row r="4" spans="1:13">
      <c r="A4" s="4"/>
      <c r="B4" s="7" t="s">
        <v>1231</v>
      </c>
      <c r="C4" s="501" t="s">
        <v>1373</v>
      </c>
      <c r="D4" s="501"/>
      <c r="E4" s="501"/>
      <c r="F4" s="501"/>
      <c r="G4" s="501"/>
      <c r="H4" s="501"/>
      <c r="I4" s="501"/>
      <c r="J4" s="501"/>
      <c r="K4" s="11"/>
      <c r="L4" s="11"/>
    </row>
    <row r="5" spans="1:13">
      <c r="A5" s="4"/>
      <c r="B5" s="17" t="s">
        <v>1494</v>
      </c>
      <c r="C5" s="18" t="s">
        <v>1912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3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3">
      <c r="A8" s="4"/>
      <c r="B8" s="8">
        <v>3</v>
      </c>
      <c r="C8" s="202" t="s">
        <v>270</v>
      </c>
      <c r="D8" s="410" t="s">
        <v>305</v>
      </c>
      <c r="E8" s="8"/>
      <c r="F8" s="8"/>
      <c r="G8" s="8"/>
      <c r="H8" s="8"/>
      <c r="I8" s="16" t="s">
        <v>967</v>
      </c>
      <c r="J8" s="16"/>
      <c r="K8" s="31"/>
      <c r="L8" s="136"/>
      <c r="M8" s="162" t="s">
        <v>304</v>
      </c>
    </row>
    <row r="9" spans="1:13">
      <c r="A9" s="4"/>
      <c r="B9" s="8">
        <v>4</v>
      </c>
      <c r="C9" s="202" t="s">
        <v>274</v>
      </c>
      <c r="D9" s="208" t="s">
        <v>1913</v>
      </c>
      <c r="E9" s="8"/>
      <c r="F9" s="8"/>
      <c r="G9" s="8"/>
      <c r="H9" s="8"/>
      <c r="I9" s="16" t="s">
        <v>967</v>
      </c>
      <c r="J9" s="16"/>
      <c r="K9" s="31"/>
      <c r="L9" s="136"/>
      <c r="M9" s="162" t="s">
        <v>313</v>
      </c>
    </row>
    <row r="10" spans="1:13">
      <c r="A10" s="4"/>
      <c r="B10" s="8">
        <v>5</v>
      </c>
      <c r="C10" s="204" t="s">
        <v>268</v>
      </c>
      <c r="D10" s="202" t="s">
        <v>269</v>
      </c>
      <c r="E10" s="8"/>
      <c r="F10" s="8"/>
      <c r="G10" s="8"/>
      <c r="H10" s="8"/>
      <c r="I10" s="16" t="s">
        <v>947</v>
      </c>
      <c r="J10" s="16">
        <v>24</v>
      </c>
      <c r="K10" s="31"/>
      <c r="L10" s="32"/>
      <c r="M10" s="162" t="s">
        <v>286</v>
      </c>
    </row>
    <row r="11" spans="1:13">
      <c r="A11" s="4"/>
      <c r="B11" s="8">
        <v>6</v>
      </c>
      <c r="C11" s="202" t="s">
        <v>1914</v>
      </c>
      <c r="D11" s="208" t="s">
        <v>1039</v>
      </c>
      <c r="E11" s="8"/>
      <c r="F11" s="8"/>
      <c r="G11" s="8"/>
      <c r="H11" s="8"/>
      <c r="I11" s="16" t="s">
        <v>947</v>
      </c>
      <c r="J11" s="16">
        <v>20</v>
      </c>
      <c r="K11" s="31"/>
      <c r="L11" s="32"/>
      <c r="M11" s="162" t="s">
        <v>295</v>
      </c>
    </row>
    <row r="12" spans="1:13">
      <c r="A12" s="4"/>
      <c r="B12" s="8">
        <v>7</v>
      </c>
      <c r="C12" s="202" t="s">
        <v>1915</v>
      </c>
      <c r="D12" s="393" t="s">
        <v>1916</v>
      </c>
      <c r="E12" s="8"/>
      <c r="F12" s="8"/>
      <c r="G12" s="8"/>
      <c r="H12" s="8"/>
      <c r="I12" s="16" t="s">
        <v>947</v>
      </c>
      <c r="J12" s="16">
        <v>40</v>
      </c>
      <c r="K12" s="31"/>
      <c r="L12" s="32"/>
      <c r="M12" s="162" t="s">
        <v>353</v>
      </c>
    </row>
    <row r="13" spans="1:13">
      <c r="A13" s="4"/>
      <c r="B13" s="8">
        <v>8</v>
      </c>
      <c r="C13" s="202" t="s">
        <v>1043</v>
      </c>
      <c r="D13" s="397" t="s">
        <v>1917</v>
      </c>
      <c r="E13" s="8"/>
      <c r="F13" s="8"/>
      <c r="G13" s="8"/>
      <c r="H13" s="8"/>
      <c r="I13" s="16" t="s">
        <v>947</v>
      </c>
      <c r="J13" s="16">
        <v>40</v>
      </c>
      <c r="K13" s="33"/>
      <c r="L13" s="32"/>
      <c r="M13" s="162" t="s">
        <v>1918</v>
      </c>
    </row>
    <row r="14" spans="1:13">
      <c r="B14" s="8">
        <v>9</v>
      </c>
      <c r="C14" s="202" t="s">
        <v>1777</v>
      </c>
      <c r="D14" s="202" t="s">
        <v>1778</v>
      </c>
      <c r="E14" s="16"/>
      <c r="F14" s="16"/>
      <c r="G14" s="16"/>
      <c r="H14" s="16"/>
      <c r="I14" s="16" t="s">
        <v>947</v>
      </c>
      <c r="J14" s="16">
        <v>2</v>
      </c>
      <c r="K14" s="16"/>
      <c r="L14" s="16"/>
      <c r="M14" s="162" t="s">
        <v>377</v>
      </c>
    </row>
    <row r="15" spans="1:13">
      <c r="B15" s="8">
        <v>10</v>
      </c>
      <c r="C15" s="202" t="s">
        <v>279</v>
      </c>
      <c r="D15" s="393" t="s">
        <v>1919</v>
      </c>
      <c r="E15" s="16"/>
      <c r="F15" s="16"/>
      <c r="G15" s="16"/>
      <c r="H15" s="16"/>
      <c r="I15" s="16" t="s">
        <v>947</v>
      </c>
      <c r="J15" s="16">
        <v>40</v>
      </c>
      <c r="K15" s="16"/>
      <c r="L15" s="16"/>
      <c r="M15" s="162" t="s">
        <v>385</v>
      </c>
    </row>
    <row r="16" spans="1:13">
      <c r="B16" s="8">
        <v>11</v>
      </c>
      <c r="C16" s="202" t="s">
        <v>1814</v>
      </c>
      <c r="D16" s="202" t="s">
        <v>1026</v>
      </c>
      <c r="E16" s="16"/>
      <c r="F16" s="16"/>
      <c r="G16" s="16"/>
      <c r="H16" s="16"/>
      <c r="I16" s="16" t="s">
        <v>947</v>
      </c>
      <c r="J16" s="16">
        <v>10</v>
      </c>
      <c r="K16" s="16"/>
      <c r="L16" s="16"/>
      <c r="M16" s="162" t="s">
        <v>401</v>
      </c>
    </row>
    <row r="17" spans="2:13">
      <c r="B17" s="8">
        <v>12</v>
      </c>
      <c r="C17" s="202" t="s">
        <v>104</v>
      </c>
      <c r="D17" s="202" t="s">
        <v>1775</v>
      </c>
      <c r="E17" s="16"/>
      <c r="F17" s="16"/>
      <c r="G17" s="16"/>
      <c r="H17" s="16"/>
      <c r="I17" s="16" t="s">
        <v>947</v>
      </c>
      <c r="J17" s="16">
        <v>10</v>
      </c>
      <c r="K17" s="16"/>
      <c r="L17" s="16"/>
      <c r="M17" s="162" t="s">
        <v>409</v>
      </c>
    </row>
    <row r="18" spans="2:13">
      <c r="B18" s="8">
        <v>13</v>
      </c>
      <c r="C18" s="203" t="s">
        <v>1765</v>
      </c>
      <c r="D18" s="209" t="s">
        <v>1920</v>
      </c>
      <c r="E18" s="16"/>
      <c r="F18" s="16"/>
      <c r="G18" s="16"/>
      <c r="H18" s="16"/>
      <c r="I18" s="16" t="s">
        <v>947</v>
      </c>
      <c r="J18" s="16">
        <v>10</v>
      </c>
      <c r="K18" s="16"/>
      <c r="L18" s="16"/>
      <c r="M18" s="162" t="s">
        <v>415</v>
      </c>
    </row>
    <row r="19" spans="2:13">
      <c r="B19" s="8">
        <v>14</v>
      </c>
      <c r="C19" s="202" t="s">
        <v>1921</v>
      </c>
      <c r="D19" s="202" t="s">
        <v>1922</v>
      </c>
      <c r="E19" s="16"/>
      <c r="F19" s="16"/>
      <c r="G19" s="16"/>
      <c r="H19" s="16"/>
      <c r="I19" s="16" t="s">
        <v>947</v>
      </c>
      <c r="J19" s="16">
        <v>20</v>
      </c>
      <c r="K19" s="16"/>
      <c r="L19" s="16"/>
      <c r="M19" s="162" t="s">
        <v>419</v>
      </c>
    </row>
    <row r="20" spans="2:13">
      <c r="B20" s="8">
        <v>15</v>
      </c>
      <c r="C20" s="204" t="s">
        <v>1809</v>
      </c>
      <c r="D20" s="202" t="s">
        <v>1770</v>
      </c>
      <c r="E20" s="16"/>
      <c r="F20" s="16"/>
      <c r="G20" s="16"/>
      <c r="H20" s="16"/>
      <c r="I20" s="16" t="s">
        <v>947</v>
      </c>
      <c r="J20" s="16">
        <v>10</v>
      </c>
      <c r="K20" s="16"/>
      <c r="L20" s="16"/>
      <c r="M20" s="162" t="s">
        <v>431</v>
      </c>
    </row>
    <row r="21" spans="2:13">
      <c r="B21" s="8">
        <v>16</v>
      </c>
      <c r="C21" s="204" t="s">
        <v>1923</v>
      </c>
      <c r="D21" s="202" t="s">
        <v>1744</v>
      </c>
      <c r="E21" s="16"/>
      <c r="F21" s="16"/>
      <c r="G21" s="16"/>
      <c r="H21" s="16"/>
      <c r="I21" s="16" t="s">
        <v>947</v>
      </c>
      <c r="J21" s="16">
        <v>35</v>
      </c>
      <c r="K21" s="16"/>
      <c r="L21" s="16"/>
      <c r="M21" s="162" t="s">
        <v>433</v>
      </c>
    </row>
    <row r="22" spans="2:13">
      <c r="B22" s="8">
        <v>17</v>
      </c>
      <c r="C22" s="8" t="s">
        <v>477</v>
      </c>
      <c r="D22" s="16" t="s">
        <v>1924</v>
      </c>
      <c r="E22" s="16"/>
      <c r="F22" s="16"/>
      <c r="G22" s="16"/>
      <c r="H22" s="16"/>
      <c r="I22" s="16" t="s">
        <v>1053</v>
      </c>
      <c r="J22" s="16" t="s">
        <v>1054</v>
      </c>
      <c r="K22" s="16"/>
      <c r="L22" s="16"/>
    </row>
    <row r="23" spans="2:13">
      <c r="B23" s="8">
        <v>18</v>
      </c>
      <c r="C23" s="8" t="s">
        <v>479</v>
      </c>
      <c r="D23" s="16" t="s">
        <v>1925</v>
      </c>
      <c r="E23" s="16"/>
      <c r="F23" s="16"/>
      <c r="G23" s="16"/>
      <c r="H23" s="16"/>
      <c r="I23" s="16" t="s">
        <v>1053</v>
      </c>
      <c r="J23" s="16" t="s">
        <v>1054</v>
      </c>
      <c r="K23" s="16"/>
      <c r="L23" s="16"/>
    </row>
    <row r="24" spans="2:13">
      <c r="B24" s="8">
        <v>19</v>
      </c>
      <c r="C24" s="8" t="s">
        <v>481</v>
      </c>
      <c r="D24" s="16" t="s">
        <v>1926</v>
      </c>
      <c r="E24" s="16"/>
      <c r="F24" s="16"/>
      <c r="G24" s="16"/>
      <c r="H24" s="16"/>
      <c r="I24" s="16" t="s">
        <v>1053</v>
      </c>
      <c r="J24" s="16" t="s">
        <v>1054</v>
      </c>
      <c r="K24" s="16"/>
      <c r="L24" s="16"/>
    </row>
    <row r="25" spans="2:13">
      <c r="B25" s="8">
        <v>20</v>
      </c>
      <c r="C25" s="8" t="s">
        <v>483</v>
      </c>
      <c r="D25" s="16" t="s">
        <v>1927</v>
      </c>
      <c r="E25" s="16"/>
      <c r="F25" s="16"/>
      <c r="G25" s="16"/>
      <c r="H25" s="16"/>
      <c r="I25" s="16" t="s">
        <v>1053</v>
      </c>
      <c r="J25" s="16" t="s">
        <v>1054</v>
      </c>
      <c r="K25" s="16"/>
      <c r="L25" s="16"/>
    </row>
    <row r="26" spans="2:13">
      <c r="B26" s="8">
        <v>21</v>
      </c>
      <c r="C26" s="8" t="s">
        <v>485</v>
      </c>
      <c r="D26" s="16" t="s">
        <v>1928</v>
      </c>
      <c r="E26" s="16"/>
      <c r="F26" s="16"/>
      <c r="G26" s="16"/>
      <c r="H26" s="16"/>
      <c r="I26" s="16" t="s">
        <v>1053</v>
      </c>
      <c r="J26" s="16" t="s">
        <v>1054</v>
      </c>
      <c r="K26" s="16"/>
      <c r="L26" s="16"/>
    </row>
    <row r="27" spans="2:13">
      <c r="B27" s="8">
        <v>22</v>
      </c>
      <c r="C27" s="8" t="s">
        <v>487</v>
      </c>
      <c r="D27" s="16" t="s">
        <v>1929</v>
      </c>
      <c r="E27" s="16"/>
      <c r="F27" s="16"/>
      <c r="G27" s="16"/>
      <c r="H27" s="16"/>
      <c r="I27" s="16" t="s">
        <v>1053</v>
      </c>
      <c r="J27" s="16" t="s">
        <v>1054</v>
      </c>
      <c r="K27" s="16"/>
      <c r="L27" s="16"/>
    </row>
    <row r="28" spans="2:13">
      <c r="B28" s="8">
        <v>23</v>
      </c>
      <c r="C28" s="8" t="s">
        <v>489</v>
      </c>
      <c r="D28" s="16" t="s">
        <v>1930</v>
      </c>
      <c r="E28" s="16"/>
      <c r="F28" s="16"/>
      <c r="G28" s="16"/>
      <c r="H28" s="16"/>
      <c r="I28" s="16" t="s">
        <v>1053</v>
      </c>
      <c r="J28" s="16" t="s">
        <v>1054</v>
      </c>
      <c r="K28" s="16"/>
      <c r="L28" s="16"/>
    </row>
    <row r="29" spans="2:13">
      <c r="B29" s="8">
        <v>24</v>
      </c>
      <c r="C29" s="8" t="s">
        <v>491</v>
      </c>
      <c r="D29" s="16" t="s">
        <v>1931</v>
      </c>
      <c r="E29" s="16"/>
      <c r="F29" s="16"/>
      <c r="G29" s="16"/>
      <c r="H29" s="16"/>
      <c r="I29" s="16" t="s">
        <v>1053</v>
      </c>
      <c r="J29" s="16" t="s">
        <v>1054</v>
      </c>
      <c r="K29" s="16"/>
      <c r="L29" s="16"/>
    </row>
    <row r="30" spans="2:13">
      <c r="B30" s="8">
        <v>25</v>
      </c>
      <c r="C30" s="8" t="s">
        <v>493</v>
      </c>
      <c r="D30" s="16" t="s">
        <v>1932</v>
      </c>
      <c r="E30" s="16"/>
      <c r="F30" s="16"/>
      <c r="G30" s="16"/>
      <c r="H30" s="16"/>
      <c r="I30" s="16" t="s">
        <v>1053</v>
      </c>
      <c r="J30" s="16" t="s">
        <v>1054</v>
      </c>
      <c r="K30" s="16"/>
      <c r="L30" s="16"/>
    </row>
    <row r="31" spans="2:13">
      <c r="B31" s="8">
        <v>26</v>
      </c>
      <c r="C31" s="8" t="s">
        <v>495</v>
      </c>
      <c r="D31" s="16" t="s">
        <v>1933</v>
      </c>
      <c r="E31" s="16"/>
      <c r="F31" s="16"/>
      <c r="G31" s="16"/>
      <c r="H31" s="16"/>
      <c r="I31" s="16" t="s">
        <v>1053</v>
      </c>
      <c r="J31" s="16" t="s">
        <v>1054</v>
      </c>
      <c r="K31" s="16"/>
      <c r="L31" s="16"/>
    </row>
    <row r="32" spans="2:13">
      <c r="B32" s="8">
        <v>27</v>
      </c>
      <c r="C32" s="8" t="s">
        <v>497</v>
      </c>
      <c r="D32" s="16" t="s">
        <v>1934</v>
      </c>
      <c r="E32" s="16"/>
      <c r="F32" s="16"/>
      <c r="G32" s="16"/>
      <c r="H32" s="16"/>
      <c r="I32" s="16" t="s">
        <v>1053</v>
      </c>
      <c r="J32" s="16" t="s">
        <v>1054</v>
      </c>
      <c r="K32" s="16"/>
      <c r="L32" s="16"/>
    </row>
    <row r="33" spans="2:12">
      <c r="B33" s="8">
        <v>28</v>
      </c>
      <c r="C33" s="8" t="s">
        <v>499</v>
      </c>
      <c r="D33" s="16" t="s">
        <v>1935</v>
      </c>
      <c r="E33" s="16"/>
      <c r="F33" s="16"/>
      <c r="G33" s="16"/>
      <c r="H33" s="16"/>
      <c r="I33" s="16" t="s">
        <v>1053</v>
      </c>
      <c r="J33" s="16" t="s">
        <v>1054</v>
      </c>
      <c r="K33" s="16"/>
      <c r="L33" s="16"/>
    </row>
    <row r="34" spans="2:12">
      <c r="B34" s="8">
        <v>29</v>
      </c>
      <c r="C34" s="8" t="s">
        <v>501</v>
      </c>
      <c r="D34" s="16" t="s">
        <v>502</v>
      </c>
      <c r="E34" s="16"/>
      <c r="F34" s="16"/>
      <c r="G34" s="16"/>
      <c r="H34" s="16"/>
      <c r="I34" s="16" t="s">
        <v>1053</v>
      </c>
      <c r="J34" s="16" t="s">
        <v>1054</v>
      </c>
      <c r="K34" s="16"/>
      <c r="L34" s="16"/>
    </row>
    <row r="35" spans="2:12">
      <c r="B35" s="8">
        <v>30</v>
      </c>
      <c r="C35" s="8" t="s">
        <v>503</v>
      </c>
      <c r="D35" s="16" t="s">
        <v>504</v>
      </c>
      <c r="E35" s="16"/>
      <c r="F35" s="16"/>
      <c r="G35" s="16"/>
      <c r="H35" s="16"/>
      <c r="I35" s="16" t="s">
        <v>1053</v>
      </c>
      <c r="J35" s="16" t="s">
        <v>1054</v>
      </c>
      <c r="K35" s="16"/>
      <c r="L35" s="16"/>
    </row>
    <row r="36" spans="2:12">
      <c r="B36" s="8">
        <v>31</v>
      </c>
      <c r="C36" s="8" t="s">
        <v>505</v>
      </c>
      <c r="D36" s="16" t="s">
        <v>506</v>
      </c>
      <c r="E36" s="16"/>
      <c r="F36" s="16"/>
      <c r="G36" s="16"/>
      <c r="H36" s="16"/>
      <c r="I36" s="16" t="s">
        <v>1053</v>
      </c>
      <c r="J36" s="16" t="s">
        <v>1054</v>
      </c>
      <c r="K36" s="16"/>
      <c r="L36" s="16"/>
    </row>
    <row r="37" spans="2:12">
      <c r="B37" s="8">
        <v>32</v>
      </c>
      <c r="C37" s="8" t="s">
        <v>507</v>
      </c>
      <c r="D37" s="16" t="s">
        <v>508</v>
      </c>
      <c r="E37" s="16"/>
      <c r="F37" s="16"/>
      <c r="G37" s="16"/>
      <c r="H37" s="16"/>
      <c r="I37" s="16" t="s">
        <v>1053</v>
      </c>
      <c r="J37" s="16" t="s">
        <v>1054</v>
      </c>
      <c r="K37" s="16"/>
      <c r="L37" s="16"/>
    </row>
    <row r="38" spans="2:12">
      <c r="B38" s="8">
        <v>33</v>
      </c>
      <c r="C38" s="8" t="s">
        <v>509</v>
      </c>
      <c r="D38" s="16" t="s">
        <v>510</v>
      </c>
      <c r="E38" s="16"/>
      <c r="F38" s="16"/>
      <c r="G38" s="16"/>
      <c r="H38" s="16"/>
      <c r="I38" s="16" t="s">
        <v>1053</v>
      </c>
      <c r="J38" s="16" t="s">
        <v>1054</v>
      </c>
      <c r="K38" s="16"/>
      <c r="L38" s="16"/>
    </row>
    <row r="39" spans="2:12">
      <c r="B39" s="8">
        <v>34</v>
      </c>
      <c r="C39" s="8" t="s">
        <v>511</v>
      </c>
      <c r="D39" s="16" t="s">
        <v>512</v>
      </c>
      <c r="E39" s="16"/>
      <c r="F39" s="16"/>
      <c r="G39" s="16"/>
      <c r="H39" s="16"/>
      <c r="I39" s="16" t="s">
        <v>1053</v>
      </c>
      <c r="J39" s="16" t="s">
        <v>1054</v>
      </c>
      <c r="K39" s="16"/>
      <c r="L39" s="16"/>
    </row>
    <row r="40" spans="2:12">
      <c r="B40" s="8">
        <v>35</v>
      </c>
      <c r="C40" s="8" t="s">
        <v>513</v>
      </c>
      <c r="D40" s="16" t="s">
        <v>514</v>
      </c>
      <c r="E40" s="16"/>
      <c r="F40" s="16"/>
      <c r="G40" s="16"/>
      <c r="H40" s="16"/>
      <c r="I40" s="16" t="s">
        <v>1053</v>
      </c>
      <c r="J40" s="16" t="s">
        <v>1054</v>
      </c>
      <c r="K40" s="16"/>
      <c r="L40" s="16"/>
    </row>
    <row r="41" spans="2:12">
      <c r="B41" s="8">
        <v>36</v>
      </c>
      <c r="C41" s="8" t="s">
        <v>515</v>
      </c>
      <c r="D41" s="16" t="s">
        <v>516</v>
      </c>
      <c r="E41" s="16"/>
      <c r="F41" s="16"/>
      <c r="G41" s="16"/>
      <c r="H41" s="16"/>
      <c r="I41" s="16" t="s">
        <v>1053</v>
      </c>
      <c r="J41" s="16" t="s">
        <v>1054</v>
      </c>
      <c r="K41" s="16"/>
      <c r="L41" s="16"/>
    </row>
    <row r="42" spans="2:12">
      <c r="B42" s="8">
        <v>37</v>
      </c>
      <c r="C42" s="8" t="s">
        <v>517</v>
      </c>
      <c r="D42" s="16" t="s">
        <v>518</v>
      </c>
      <c r="E42" s="16"/>
      <c r="F42" s="16"/>
      <c r="G42" s="16"/>
      <c r="H42" s="16"/>
      <c r="I42" s="16" t="s">
        <v>1053</v>
      </c>
      <c r="J42" s="16" t="s">
        <v>1054</v>
      </c>
      <c r="K42" s="16"/>
      <c r="L42" s="16"/>
    </row>
    <row r="43" spans="2:12">
      <c r="B43" s="8">
        <v>38</v>
      </c>
      <c r="C43" s="8" t="s">
        <v>519</v>
      </c>
      <c r="D43" s="16" t="s">
        <v>520</v>
      </c>
      <c r="E43" s="16"/>
      <c r="F43" s="16"/>
      <c r="G43" s="16"/>
      <c r="H43" s="16"/>
      <c r="I43" s="16" t="s">
        <v>1053</v>
      </c>
      <c r="J43" s="16" t="s">
        <v>1054</v>
      </c>
      <c r="K43" s="16"/>
      <c r="L43" s="16"/>
    </row>
    <row r="44" spans="2:12">
      <c r="B44" s="8">
        <v>39</v>
      </c>
      <c r="C44" s="8" t="s">
        <v>521</v>
      </c>
      <c r="D44" s="16" t="s">
        <v>522</v>
      </c>
      <c r="E44" s="16"/>
      <c r="F44" s="16"/>
      <c r="G44" s="16"/>
      <c r="H44" s="16"/>
      <c r="I44" s="16" t="s">
        <v>1053</v>
      </c>
      <c r="J44" s="16" t="s">
        <v>1054</v>
      </c>
      <c r="K44" s="16"/>
      <c r="L44" s="16"/>
    </row>
    <row r="45" spans="2:12">
      <c r="B45" s="8">
        <v>40</v>
      </c>
      <c r="C45" s="8" t="s">
        <v>523</v>
      </c>
      <c r="D45" s="16" t="s">
        <v>524</v>
      </c>
      <c r="E45" s="16"/>
      <c r="F45" s="16"/>
      <c r="G45" s="16"/>
      <c r="H45" s="16"/>
      <c r="I45" s="16" t="s">
        <v>1053</v>
      </c>
      <c r="J45" s="16" t="s">
        <v>1054</v>
      </c>
      <c r="K45" s="16"/>
      <c r="L45" s="16"/>
    </row>
    <row r="46" spans="2:12">
      <c r="B46" s="8">
        <v>41</v>
      </c>
      <c r="C46" s="8" t="s">
        <v>449</v>
      </c>
      <c r="D46" s="16" t="s">
        <v>450</v>
      </c>
      <c r="E46" s="16"/>
      <c r="F46" s="16"/>
      <c r="G46" s="16"/>
      <c r="H46" s="16"/>
      <c r="I46" s="16" t="s">
        <v>947</v>
      </c>
      <c r="J46" s="16">
        <v>5</v>
      </c>
      <c r="K46" s="16"/>
      <c r="L46" s="16"/>
    </row>
    <row r="47" spans="2:12">
      <c r="B47" s="8">
        <v>42</v>
      </c>
      <c r="C47" s="8" t="s">
        <v>691</v>
      </c>
      <c r="D47" s="16" t="s">
        <v>1936</v>
      </c>
      <c r="E47" s="16"/>
      <c r="F47" s="16"/>
      <c r="G47" s="16"/>
      <c r="H47" s="16"/>
      <c r="I47" s="16" t="s">
        <v>1053</v>
      </c>
      <c r="J47" s="16" t="s">
        <v>1054</v>
      </c>
      <c r="K47" s="16"/>
      <c r="L47" s="16"/>
    </row>
    <row r="48" spans="2:12">
      <c r="B48" s="8">
        <v>43</v>
      </c>
      <c r="C48" s="8" t="s">
        <v>693</v>
      </c>
      <c r="D48" s="16" t="s">
        <v>1937</v>
      </c>
      <c r="E48" s="16"/>
      <c r="F48" s="16"/>
      <c r="G48" s="16"/>
      <c r="H48" s="16"/>
      <c r="I48" s="16" t="s">
        <v>1053</v>
      </c>
      <c r="J48" s="16" t="s">
        <v>1054</v>
      </c>
      <c r="K48" s="16"/>
      <c r="L48" s="16"/>
    </row>
    <row r="49" spans="2:12">
      <c r="B49" s="8">
        <v>44</v>
      </c>
      <c r="C49" s="8" t="s">
        <v>695</v>
      </c>
      <c r="D49" s="16" t="s">
        <v>1938</v>
      </c>
      <c r="E49" s="16"/>
      <c r="F49" s="16"/>
      <c r="G49" s="16"/>
      <c r="H49" s="16"/>
      <c r="I49" s="16" t="s">
        <v>1053</v>
      </c>
      <c r="J49" s="16" t="s">
        <v>1054</v>
      </c>
      <c r="K49" s="16"/>
      <c r="L49" s="16"/>
    </row>
    <row r="50" spans="2:12">
      <c r="B50" s="8">
        <v>45</v>
      </c>
      <c r="C50" s="8" t="s">
        <v>697</v>
      </c>
      <c r="D50" s="16" t="s">
        <v>1939</v>
      </c>
      <c r="E50" s="16"/>
      <c r="F50" s="16"/>
      <c r="G50" s="16"/>
      <c r="H50" s="16"/>
      <c r="I50" s="16" t="s">
        <v>1053</v>
      </c>
      <c r="J50" s="16" t="s">
        <v>1054</v>
      </c>
      <c r="K50" s="16"/>
      <c r="L50" s="16"/>
    </row>
    <row r="51" spans="2:12">
      <c r="B51" s="8">
        <v>46</v>
      </c>
      <c r="C51" s="8" t="s">
        <v>699</v>
      </c>
      <c r="D51" s="16" t="s">
        <v>1940</v>
      </c>
      <c r="E51" s="16"/>
      <c r="F51" s="16"/>
      <c r="G51" s="16"/>
      <c r="H51" s="16"/>
      <c r="I51" s="16" t="s">
        <v>1053</v>
      </c>
      <c r="J51" s="16" t="s">
        <v>1054</v>
      </c>
      <c r="K51" s="16"/>
      <c r="L51" s="16"/>
    </row>
    <row r="52" spans="2:12">
      <c r="B52" s="8">
        <v>47</v>
      </c>
      <c r="C52" s="8" t="s">
        <v>701</v>
      </c>
      <c r="D52" s="16" t="s">
        <v>1941</v>
      </c>
      <c r="E52" s="16"/>
      <c r="F52" s="16"/>
      <c r="G52" s="16"/>
      <c r="H52" s="16"/>
      <c r="I52" s="16" t="s">
        <v>1053</v>
      </c>
      <c r="J52" s="16" t="s">
        <v>1054</v>
      </c>
      <c r="K52" s="16"/>
      <c r="L52" s="16"/>
    </row>
    <row r="53" spans="2:12">
      <c r="B53" s="8">
        <v>48</v>
      </c>
      <c r="C53" s="8" t="s">
        <v>703</v>
      </c>
      <c r="D53" s="16" t="s">
        <v>1942</v>
      </c>
      <c r="E53" s="16"/>
      <c r="F53" s="16"/>
      <c r="G53" s="16"/>
      <c r="H53" s="16"/>
      <c r="I53" s="16" t="s">
        <v>1053</v>
      </c>
      <c r="J53" s="16" t="s">
        <v>1054</v>
      </c>
      <c r="K53" s="16"/>
      <c r="L53" s="16"/>
    </row>
    <row r="54" spans="2:12">
      <c r="B54" s="8">
        <v>49</v>
      </c>
      <c r="C54" s="8" t="s">
        <v>705</v>
      </c>
      <c r="D54" s="16" t="s">
        <v>1943</v>
      </c>
      <c r="E54" s="16"/>
      <c r="F54" s="16"/>
      <c r="G54" s="16"/>
      <c r="H54" s="16"/>
      <c r="I54" s="16" t="s">
        <v>1053</v>
      </c>
      <c r="J54" s="16" t="s">
        <v>1054</v>
      </c>
      <c r="K54" s="16"/>
      <c r="L54" s="16"/>
    </row>
    <row r="55" spans="2:12">
      <c r="B55" s="8">
        <v>50</v>
      </c>
      <c r="C55" s="8" t="s">
        <v>707</v>
      </c>
      <c r="D55" s="16" t="s">
        <v>1944</v>
      </c>
      <c r="E55" s="16"/>
      <c r="F55" s="16"/>
      <c r="G55" s="16"/>
      <c r="H55" s="16"/>
      <c r="I55" s="16" t="s">
        <v>1053</v>
      </c>
      <c r="J55" s="16" t="s">
        <v>1054</v>
      </c>
      <c r="K55" s="16"/>
      <c r="L55" s="16"/>
    </row>
    <row r="56" spans="2:12">
      <c r="B56" s="8">
        <v>51</v>
      </c>
      <c r="C56" s="8" t="s">
        <v>709</v>
      </c>
      <c r="D56" s="16" t="s">
        <v>1945</v>
      </c>
      <c r="E56" s="16"/>
      <c r="F56" s="16"/>
      <c r="G56" s="16"/>
      <c r="H56" s="16"/>
      <c r="I56" s="16" t="s">
        <v>1053</v>
      </c>
      <c r="J56" s="16" t="s">
        <v>1054</v>
      </c>
      <c r="K56" s="16"/>
      <c r="L56" s="16"/>
    </row>
    <row r="57" spans="2:12">
      <c r="B57" s="8">
        <v>52</v>
      </c>
      <c r="C57" s="8" t="s">
        <v>711</v>
      </c>
      <c r="D57" s="16" t="s">
        <v>1946</v>
      </c>
      <c r="E57" s="16"/>
      <c r="F57" s="16"/>
      <c r="G57" s="16"/>
      <c r="H57" s="16"/>
      <c r="I57" s="16" t="s">
        <v>1053</v>
      </c>
      <c r="J57" s="16" t="s">
        <v>1054</v>
      </c>
      <c r="K57" s="16"/>
      <c r="L57" s="16"/>
    </row>
    <row r="58" spans="2:12">
      <c r="B58" s="8">
        <v>53</v>
      </c>
      <c r="C58" s="8" t="s">
        <v>713</v>
      </c>
      <c r="D58" s="16" t="s">
        <v>1947</v>
      </c>
      <c r="E58" s="16"/>
      <c r="F58" s="16"/>
      <c r="G58" s="16"/>
      <c r="H58" s="16"/>
      <c r="I58" s="16" t="s">
        <v>1053</v>
      </c>
      <c r="J58" s="16" t="s">
        <v>1054</v>
      </c>
      <c r="K58" s="16"/>
      <c r="L58" s="16"/>
    </row>
  </sheetData>
  <mergeCells count="5">
    <mergeCell ref="C4:J4"/>
    <mergeCell ref="C1:L1"/>
    <mergeCell ref="A2:B2"/>
    <mergeCell ref="C3:G3"/>
    <mergeCell ref="H3:J3"/>
  </mergeCells>
  <phoneticPr fontId="1" type="noConversion"/>
  <hyperlinks>
    <hyperlink ref="B1" location="Index!A1" display="Index!A1" xr:uid="{571BA96F-5E55-4D86-BD3C-EE591D30D856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FFDC9-393A-41DA-89CC-F839CED1ED1F}">
  <sheetPr codeName="Sheet43">
    <tabColor rgb="FF92D050"/>
  </sheetPr>
  <dimension ref="A1:O47"/>
  <sheetViews>
    <sheetView workbookViewId="0">
      <selection activeCell="B6" sqref="B6:L7"/>
    </sheetView>
  </sheetViews>
  <sheetFormatPr defaultRowHeight="16.5"/>
  <cols>
    <col min="2" max="2" width="6.875" bestFit="1" customWidth="1"/>
    <col min="3" max="3" width="20.5" bestFit="1" customWidth="1"/>
    <col min="4" max="4" width="28.75" bestFit="1" customWidth="1"/>
    <col min="5" max="5" width="3.75" bestFit="1" customWidth="1"/>
    <col min="6" max="6" width="3.75" customWidth="1"/>
    <col min="7" max="7" width="25.125" bestFit="1" customWidth="1"/>
    <col min="8" max="8" width="10.5" bestFit="1" customWidth="1"/>
    <col min="9" max="9" width="11.625" bestFit="1" customWidth="1"/>
    <col min="10" max="10" width="8.5" bestFit="1" customWidth="1"/>
    <col min="11" max="11" width="46.75" customWidth="1"/>
    <col min="12" max="12" width="34.625" customWidth="1"/>
  </cols>
  <sheetData>
    <row r="1" spans="1:15" ht="20.25">
      <c r="A1" s="4"/>
      <c r="B1" s="258" t="s">
        <v>1492</v>
      </c>
      <c r="D1" s="482" t="s">
        <v>1380</v>
      </c>
      <c r="E1" s="482"/>
      <c r="F1" s="482"/>
      <c r="G1" s="482"/>
      <c r="H1" s="482"/>
      <c r="I1" s="482"/>
      <c r="J1" s="482"/>
      <c r="K1" s="482"/>
      <c r="L1" s="482"/>
    </row>
    <row r="2" spans="1:15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5">
      <c r="A3" s="4"/>
      <c r="B3" s="483" t="s">
        <v>1493</v>
      </c>
      <c r="C3" s="494"/>
      <c r="D3" s="494" t="s">
        <v>1378</v>
      </c>
      <c r="E3" s="495"/>
      <c r="F3" s="495"/>
      <c r="G3" s="496"/>
      <c r="H3" s="495" t="s">
        <v>1948</v>
      </c>
      <c r="I3" s="495"/>
      <c r="J3" s="496"/>
      <c r="K3" s="11"/>
      <c r="L3" s="11"/>
    </row>
    <row r="4" spans="1:15">
      <c r="A4" s="4"/>
      <c r="B4" s="483" t="s">
        <v>1231</v>
      </c>
      <c r="C4" s="494"/>
      <c r="D4" s="498" t="s">
        <v>1373</v>
      </c>
      <c r="E4" s="498"/>
      <c r="F4" s="498"/>
      <c r="G4" s="498"/>
      <c r="H4" s="498"/>
      <c r="I4" s="498"/>
      <c r="J4" s="498"/>
      <c r="K4" s="11"/>
      <c r="L4" s="11"/>
    </row>
    <row r="5" spans="1:15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5">
      <c r="A6" s="4"/>
      <c r="B6" s="8">
        <v>1</v>
      </c>
      <c r="C6" s="149" t="s">
        <v>972</v>
      </c>
      <c r="D6" s="150" t="s">
        <v>1949</v>
      </c>
      <c r="E6" s="149"/>
      <c r="F6" s="149"/>
      <c r="G6" s="149"/>
      <c r="H6" s="149" t="s">
        <v>1262</v>
      </c>
      <c r="I6" s="149" t="s">
        <v>1792</v>
      </c>
      <c r="J6" s="149"/>
      <c r="K6" s="151" t="s">
        <v>975</v>
      </c>
      <c r="L6" s="151"/>
    </row>
    <row r="7" spans="1:15">
      <c r="A7" s="4"/>
      <c r="B7" s="8">
        <v>2</v>
      </c>
      <c r="C7" s="152" t="s">
        <v>35</v>
      </c>
      <c r="D7" s="337" t="s">
        <v>36</v>
      </c>
      <c r="E7" s="149"/>
      <c r="F7" s="149"/>
      <c r="G7" s="149"/>
      <c r="H7" s="149"/>
      <c r="I7" s="149" t="s">
        <v>947</v>
      </c>
      <c r="J7" s="149">
        <v>10</v>
      </c>
      <c r="K7" s="153" t="s">
        <v>1950</v>
      </c>
      <c r="L7" s="154" t="s">
        <v>1798</v>
      </c>
      <c r="M7" t="s">
        <v>1640</v>
      </c>
    </row>
    <row r="8" spans="1:15">
      <c r="A8" s="4"/>
      <c r="B8" s="8">
        <v>3</v>
      </c>
      <c r="C8" s="8" t="s">
        <v>1082</v>
      </c>
      <c r="D8" s="42" t="s">
        <v>1123</v>
      </c>
      <c r="E8" s="16" t="s">
        <v>1262</v>
      </c>
      <c r="F8" s="8"/>
      <c r="G8" s="8"/>
      <c r="H8" s="16" t="s">
        <v>1807</v>
      </c>
      <c r="I8" s="16" t="s">
        <v>947</v>
      </c>
      <c r="J8" s="16">
        <v>6</v>
      </c>
      <c r="K8" s="31"/>
      <c r="L8" s="33"/>
    </row>
    <row r="9" spans="1:15">
      <c r="A9" s="4"/>
      <c r="B9" s="8">
        <v>4</v>
      </c>
      <c r="C9" s="8" t="s">
        <v>1084</v>
      </c>
      <c r="D9" s="410" t="s">
        <v>267</v>
      </c>
      <c r="E9" s="16" t="s">
        <v>1262</v>
      </c>
      <c r="F9" s="8"/>
      <c r="G9" s="8"/>
      <c r="H9" s="16" t="s">
        <v>1807</v>
      </c>
      <c r="I9" s="16" t="s">
        <v>947</v>
      </c>
      <c r="J9" s="16">
        <v>6</v>
      </c>
      <c r="K9" s="31"/>
      <c r="L9" s="33"/>
    </row>
    <row r="10" spans="1:15">
      <c r="A10" s="4"/>
      <c r="B10" s="8">
        <v>5</v>
      </c>
      <c r="C10" s="47" t="s">
        <v>1799</v>
      </c>
      <c r="D10" s="42" t="s">
        <v>1951</v>
      </c>
      <c r="E10" s="16"/>
      <c r="F10" s="8"/>
      <c r="G10" s="8"/>
      <c r="H10" s="16"/>
      <c r="I10" s="16" t="s">
        <v>1516</v>
      </c>
      <c r="J10" s="16">
        <v>8</v>
      </c>
      <c r="K10" s="31"/>
      <c r="L10" s="33"/>
    </row>
    <row r="11" spans="1:15">
      <c r="B11" s="8">
        <v>6</v>
      </c>
      <c r="C11" s="16" t="s">
        <v>1765</v>
      </c>
      <c r="D11" s="15" t="s">
        <v>1952</v>
      </c>
      <c r="E11" s="16" t="s">
        <v>1262</v>
      </c>
      <c r="F11" s="16"/>
      <c r="G11" s="8" t="s">
        <v>1886</v>
      </c>
      <c r="H11" s="16" t="s">
        <v>1807</v>
      </c>
      <c r="I11" s="8" t="s">
        <v>947</v>
      </c>
      <c r="J11" s="8">
        <v>8</v>
      </c>
      <c r="K11" s="79"/>
      <c r="L11" s="79"/>
      <c r="M11" s="200" t="s">
        <v>1953</v>
      </c>
      <c r="N11" s="200"/>
      <c r="O11" t="s">
        <v>1954</v>
      </c>
    </row>
    <row r="12" spans="1:15">
      <c r="B12" s="8">
        <v>7</v>
      </c>
      <c r="C12" s="16" t="s">
        <v>839</v>
      </c>
      <c r="D12" s="16" t="s">
        <v>1955</v>
      </c>
      <c r="E12" s="16"/>
      <c r="F12" s="16"/>
      <c r="G12" s="16"/>
      <c r="H12" s="16"/>
      <c r="I12" s="16" t="s">
        <v>1053</v>
      </c>
      <c r="J12" s="16" t="s">
        <v>1054</v>
      </c>
      <c r="K12" s="79"/>
      <c r="L12" s="79"/>
    </row>
    <row r="13" spans="1:15">
      <c r="B13" s="8">
        <v>8</v>
      </c>
      <c r="C13" s="16" t="s">
        <v>841</v>
      </c>
      <c r="D13" s="16" t="s">
        <v>1956</v>
      </c>
      <c r="E13" s="16"/>
      <c r="F13" s="16"/>
      <c r="G13" s="16"/>
      <c r="H13" s="16"/>
      <c r="I13" s="16" t="s">
        <v>1053</v>
      </c>
      <c r="J13" s="16" t="s">
        <v>1054</v>
      </c>
      <c r="K13" s="79"/>
      <c r="L13" s="79"/>
    </row>
    <row r="14" spans="1:15">
      <c r="B14" s="8">
        <v>9</v>
      </c>
      <c r="C14" s="16" t="s">
        <v>843</v>
      </c>
      <c r="D14" s="16" t="s">
        <v>1957</v>
      </c>
      <c r="E14" s="16"/>
      <c r="F14" s="16"/>
      <c r="G14" s="16"/>
      <c r="H14" s="16"/>
      <c r="I14" s="16" t="s">
        <v>1053</v>
      </c>
      <c r="J14" s="16" t="s">
        <v>1054</v>
      </c>
      <c r="K14" s="79"/>
      <c r="L14" s="79"/>
    </row>
    <row r="15" spans="1:15">
      <c r="B15" s="8">
        <v>10</v>
      </c>
      <c r="C15" s="16" t="s">
        <v>845</v>
      </c>
      <c r="D15" s="16" t="s">
        <v>1958</v>
      </c>
      <c r="E15" s="16"/>
      <c r="F15" s="16"/>
      <c r="G15" s="16"/>
      <c r="H15" s="16"/>
      <c r="I15" s="16" t="s">
        <v>1053</v>
      </c>
      <c r="J15" s="16" t="s">
        <v>1054</v>
      </c>
      <c r="K15" s="79"/>
      <c r="L15" s="79"/>
    </row>
    <row r="16" spans="1:15">
      <c r="B16" s="8">
        <v>11</v>
      </c>
      <c r="C16" s="16" t="s">
        <v>847</v>
      </c>
      <c r="D16" s="16" t="s">
        <v>1959</v>
      </c>
      <c r="E16" s="16"/>
      <c r="F16" s="16"/>
      <c r="G16" s="16"/>
      <c r="H16" s="16"/>
      <c r="I16" s="16" t="s">
        <v>1053</v>
      </c>
      <c r="J16" s="16" t="s">
        <v>1054</v>
      </c>
      <c r="K16" s="16"/>
      <c r="L16" s="3"/>
    </row>
    <row r="17" spans="2:12">
      <c r="B17" s="8">
        <v>12</v>
      </c>
      <c r="C17" s="16" t="s">
        <v>849</v>
      </c>
      <c r="D17" s="16" t="s">
        <v>1960</v>
      </c>
      <c r="E17" s="16"/>
      <c r="F17" s="16"/>
      <c r="G17" s="16"/>
      <c r="H17" s="16"/>
      <c r="I17" s="16" t="s">
        <v>1053</v>
      </c>
      <c r="J17" s="16" t="s">
        <v>1054</v>
      </c>
      <c r="K17" s="16"/>
      <c r="L17" s="3"/>
    </row>
    <row r="18" spans="2:12">
      <c r="B18" s="8">
        <v>13</v>
      </c>
      <c r="C18" s="16" t="s">
        <v>851</v>
      </c>
      <c r="D18" s="16" t="s">
        <v>1961</v>
      </c>
      <c r="E18" s="16"/>
      <c r="F18" s="16"/>
      <c r="G18" s="16"/>
      <c r="H18" s="16"/>
      <c r="I18" s="16" t="s">
        <v>1053</v>
      </c>
      <c r="J18" s="16" t="s">
        <v>1054</v>
      </c>
      <c r="K18" s="16"/>
      <c r="L18" s="3"/>
    </row>
    <row r="19" spans="2:12">
      <c r="B19" s="8">
        <v>14</v>
      </c>
      <c r="C19" s="16" t="s">
        <v>853</v>
      </c>
      <c r="D19" s="16" t="s">
        <v>1962</v>
      </c>
      <c r="E19" s="16"/>
      <c r="F19" s="16"/>
      <c r="G19" s="16"/>
      <c r="H19" s="16"/>
      <c r="I19" s="16" t="s">
        <v>1053</v>
      </c>
      <c r="J19" s="16" t="s">
        <v>1054</v>
      </c>
      <c r="K19" s="16"/>
      <c r="L19" s="3"/>
    </row>
    <row r="20" spans="2:12">
      <c r="B20" s="8">
        <v>15</v>
      </c>
      <c r="C20" s="16" t="s">
        <v>855</v>
      </c>
      <c r="D20" s="16" t="s">
        <v>1052</v>
      </c>
      <c r="E20" s="16"/>
      <c r="F20" s="16"/>
      <c r="G20" s="16"/>
      <c r="H20" s="16"/>
      <c r="I20" s="16" t="s">
        <v>1053</v>
      </c>
      <c r="J20" s="16" t="s">
        <v>1054</v>
      </c>
      <c r="K20" s="16"/>
      <c r="L20" s="3"/>
    </row>
    <row r="21" spans="2:12">
      <c r="B21" s="8">
        <v>16</v>
      </c>
      <c r="C21" s="16" t="s">
        <v>857</v>
      </c>
      <c r="D21" s="16" t="s">
        <v>1963</v>
      </c>
      <c r="E21" s="16"/>
      <c r="F21" s="16"/>
      <c r="G21" s="16"/>
      <c r="H21" s="16"/>
      <c r="I21" s="16" t="s">
        <v>1053</v>
      </c>
      <c r="J21" s="16" t="s">
        <v>1054</v>
      </c>
      <c r="K21" s="16"/>
      <c r="L21" s="3"/>
    </row>
    <row r="22" spans="2:12">
      <c r="B22" s="8">
        <v>17</v>
      </c>
      <c r="C22" s="16" t="s">
        <v>859</v>
      </c>
      <c r="D22" s="16" t="s">
        <v>1964</v>
      </c>
      <c r="E22" s="16"/>
      <c r="F22" s="16"/>
      <c r="G22" s="16"/>
      <c r="H22" s="16"/>
      <c r="I22" s="16" t="s">
        <v>1053</v>
      </c>
      <c r="J22" s="16" t="s">
        <v>1054</v>
      </c>
      <c r="K22" s="16"/>
      <c r="L22" s="3"/>
    </row>
    <row r="23" spans="2:12">
      <c r="B23" s="8">
        <v>18</v>
      </c>
      <c r="C23" s="16" t="s">
        <v>861</v>
      </c>
      <c r="D23" s="16" t="s">
        <v>1965</v>
      </c>
      <c r="E23" s="16"/>
      <c r="F23" s="16"/>
      <c r="G23" s="16"/>
      <c r="H23" s="16"/>
      <c r="I23" s="16" t="s">
        <v>1053</v>
      </c>
      <c r="J23" s="16" t="s">
        <v>1054</v>
      </c>
      <c r="K23" s="16"/>
      <c r="L23" s="3"/>
    </row>
    <row r="24" spans="2:12">
      <c r="B24" s="8">
        <v>19</v>
      </c>
      <c r="C24" s="16" t="s">
        <v>863</v>
      </c>
      <c r="D24" s="16" t="s">
        <v>1966</v>
      </c>
      <c r="E24" s="3"/>
      <c r="F24" s="3"/>
      <c r="G24" s="3"/>
      <c r="H24" s="3"/>
      <c r="I24" s="16" t="s">
        <v>1053</v>
      </c>
      <c r="J24" s="16" t="s">
        <v>1054</v>
      </c>
      <c r="K24" s="16" t="s">
        <v>1094</v>
      </c>
      <c r="L24" s="3"/>
    </row>
    <row r="25" spans="2:12">
      <c r="B25" s="8">
        <v>20</v>
      </c>
      <c r="C25" s="16" t="s">
        <v>865</v>
      </c>
      <c r="D25" s="16" t="s">
        <v>1967</v>
      </c>
      <c r="E25" s="3"/>
      <c r="F25" s="3"/>
      <c r="G25" s="3"/>
      <c r="H25" s="3"/>
      <c r="I25" s="16" t="s">
        <v>1053</v>
      </c>
      <c r="J25" s="16" t="s">
        <v>1054</v>
      </c>
      <c r="K25" s="16" t="s">
        <v>1094</v>
      </c>
      <c r="L25" s="3"/>
    </row>
    <row r="26" spans="2:12">
      <c r="B26" s="8">
        <v>21</v>
      </c>
      <c r="C26" s="16" t="s">
        <v>867</v>
      </c>
      <c r="D26" s="16" t="s">
        <v>1968</v>
      </c>
      <c r="E26" s="3"/>
      <c r="F26" s="3"/>
      <c r="G26" s="3"/>
      <c r="H26" s="3"/>
      <c r="I26" s="16" t="s">
        <v>1053</v>
      </c>
      <c r="J26" s="16" t="s">
        <v>1054</v>
      </c>
      <c r="K26" s="16" t="s">
        <v>1094</v>
      </c>
      <c r="L26" s="3"/>
    </row>
    <row r="27" spans="2:12">
      <c r="B27" s="8">
        <v>22</v>
      </c>
      <c r="C27" s="16" t="s">
        <v>869</v>
      </c>
      <c r="D27" s="16" t="s">
        <v>1969</v>
      </c>
      <c r="E27" s="3"/>
      <c r="F27" s="3"/>
      <c r="G27" s="3"/>
      <c r="H27" s="3"/>
      <c r="I27" s="16" t="s">
        <v>1053</v>
      </c>
      <c r="J27" s="16" t="s">
        <v>1054</v>
      </c>
      <c r="K27" s="16" t="s">
        <v>1094</v>
      </c>
      <c r="L27" s="3"/>
    </row>
    <row r="28" spans="2:12">
      <c r="B28" s="8">
        <v>23</v>
      </c>
      <c r="C28" s="16" t="s">
        <v>871</v>
      </c>
      <c r="D28" s="16" t="s">
        <v>1970</v>
      </c>
      <c r="E28" s="16"/>
      <c r="F28" s="16"/>
      <c r="G28" s="16"/>
      <c r="H28" s="16"/>
      <c r="I28" s="16" t="s">
        <v>1053</v>
      </c>
      <c r="J28" s="16" t="s">
        <v>1054</v>
      </c>
      <c r="K28" s="16" t="s">
        <v>1094</v>
      </c>
      <c r="L28" s="3"/>
    </row>
    <row r="29" spans="2:12">
      <c r="B29" s="8">
        <v>24</v>
      </c>
      <c r="C29" s="16" t="s">
        <v>873</v>
      </c>
      <c r="D29" s="16" t="s">
        <v>1971</v>
      </c>
      <c r="E29" s="16"/>
      <c r="F29" s="16"/>
      <c r="G29" s="16"/>
      <c r="H29" s="16"/>
      <c r="I29" s="16" t="s">
        <v>1053</v>
      </c>
      <c r="J29" s="16" t="s">
        <v>1054</v>
      </c>
      <c r="K29" s="16" t="s">
        <v>1094</v>
      </c>
      <c r="L29" s="3"/>
    </row>
    <row r="30" spans="2:12">
      <c r="B30" s="8">
        <v>25</v>
      </c>
      <c r="C30" s="16" t="s">
        <v>875</v>
      </c>
      <c r="D30" s="16" t="s">
        <v>1972</v>
      </c>
      <c r="E30" s="16"/>
      <c r="F30" s="16"/>
      <c r="G30" s="16"/>
      <c r="H30" s="16"/>
      <c r="I30" s="16" t="s">
        <v>1053</v>
      </c>
      <c r="J30" s="16" t="s">
        <v>1054</v>
      </c>
      <c r="K30" s="16" t="s">
        <v>1094</v>
      </c>
      <c r="L30" s="3"/>
    </row>
    <row r="31" spans="2:12">
      <c r="B31" s="8">
        <v>26</v>
      </c>
      <c r="C31" s="16" t="s">
        <v>877</v>
      </c>
      <c r="D31" s="16" t="s">
        <v>1973</v>
      </c>
      <c r="E31" s="16"/>
      <c r="F31" s="16"/>
      <c r="G31" s="16"/>
      <c r="H31" s="16"/>
      <c r="I31" s="16" t="s">
        <v>1053</v>
      </c>
      <c r="J31" s="16" t="s">
        <v>1054</v>
      </c>
      <c r="K31" s="16" t="s">
        <v>1094</v>
      </c>
      <c r="L31" s="3"/>
    </row>
    <row r="32" spans="2:12">
      <c r="B32" s="8">
        <v>27</v>
      </c>
      <c r="C32" s="16" t="s">
        <v>879</v>
      </c>
      <c r="D32" s="16" t="s">
        <v>1974</v>
      </c>
      <c r="E32" s="16"/>
      <c r="F32" s="16"/>
      <c r="G32" s="16"/>
      <c r="H32" s="16"/>
      <c r="I32" s="16" t="s">
        <v>1053</v>
      </c>
      <c r="J32" s="16" t="s">
        <v>1054</v>
      </c>
      <c r="K32" s="16" t="s">
        <v>1094</v>
      </c>
      <c r="L32" s="3"/>
    </row>
    <row r="33" spans="2:12">
      <c r="B33" s="8">
        <v>28</v>
      </c>
      <c r="C33" s="16" t="s">
        <v>881</v>
      </c>
      <c r="D33" s="16" t="s">
        <v>1975</v>
      </c>
      <c r="E33" s="16"/>
      <c r="F33" s="16"/>
      <c r="G33" s="16"/>
      <c r="H33" s="16"/>
      <c r="I33" s="16" t="s">
        <v>1053</v>
      </c>
      <c r="J33" s="16" t="s">
        <v>1054</v>
      </c>
      <c r="K33" s="16" t="s">
        <v>1094</v>
      </c>
      <c r="L33" s="3"/>
    </row>
    <row r="34" spans="2:12">
      <c r="B34" s="8">
        <v>29</v>
      </c>
      <c r="C34" s="16" t="s">
        <v>883</v>
      </c>
      <c r="D34" s="16" t="s">
        <v>1976</v>
      </c>
      <c r="E34" s="16"/>
      <c r="F34" s="16"/>
      <c r="G34" s="16"/>
      <c r="H34" s="16"/>
      <c r="I34" s="16" t="s">
        <v>1053</v>
      </c>
      <c r="J34" s="16" t="s">
        <v>1054</v>
      </c>
      <c r="K34" s="16" t="s">
        <v>1094</v>
      </c>
      <c r="L34" s="3"/>
    </row>
    <row r="35" spans="2:12">
      <c r="B35" s="8">
        <v>30</v>
      </c>
      <c r="C35" s="16" t="s">
        <v>885</v>
      </c>
      <c r="D35" s="16" t="s">
        <v>1977</v>
      </c>
      <c r="E35" s="16"/>
      <c r="F35" s="16"/>
      <c r="G35" s="16"/>
      <c r="H35" s="16"/>
      <c r="I35" s="16" t="s">
        <v>1053</v>
      </c>
      <c r="J35" s="16" t="s">
        <v>1054</v>
      </c>
      <c r="K35" s="16" t="s">
        <v>1094</v>
      </c>
      <c r="L35" s="3"/>
    </row>
    <row r="36" spans="2:12">
      <c r="B36" s="8">
        <v>31</v>
      </c>
      <c r="C36" s="16" t="s">
        <v>1978</v>
      </c>
      <c r="D36" s="16" t="s">
        <v>1979</v>
      </c>
      <c r="E36" s="16"/>
      <c r="F36" s="16"/>
      <c r="G36" s="16"/>
      <c r="H36" s="16"/>
      <c r="I36" s="16" t="s">
        <v>1053</v>
      </c>
      <c r="J36" s="16" t="s">
        <v>1054</v>
      </c>
      <c r="K36" s="16"/>
      <c r="L36" s="3"/>
    </row>
    <row r="37" spans="2:12">
      <c r="B37" s="8">
        <v>32</v>
      </c>
      <c r="C37" s="16" t="s">
        <v>1980</v>
      </c>
      <c r="D37" s="16" t="s">
        <v>1981</v>
      </c>
      <c r="E37" s="16"/>
      <c r="F37" s="16"/>
      <c r="G37" s="16"/>
      <c r="H37" s="16"/>
      <c r="I37" s="16" t="s">
        <v>1053</v>
      </c>
      <c r="J37" s="16" t="s">
        <v>1054</v>
      </c>
      <c r="K37" s="16"/>
      <c r="L37" s="3"/>
    </row>
    <row r="38" spans="2:12">
      <c r="B38" s="8">
        <v>33</v>
      </c>
      <c r="C38" s="16" t="s">
        <v>1982</v>
      </c>
      <c r="D38" s="16" t="s">
        <v>1983</v>
      </c>
      <c r="E38" s="16"/>
      <c r="F38" s="16"/>
      <c r="G38" s="16"/>
      <c r="H38" s="16"/>
      <c r="I38" s="16" t="s">
        <v>1053</v>
      </c>
      <c r="J38" s="16" t="s">
        <v>1054</v>
      </c>
      <c r="K38" s="16"/>
      <c r="L38" s="3"/>
    </row>
    <row r="39" spans="2:12">
      <c r="B39" s="8">
        <v>34</v>
      </c>
      <c r="C39" s="16" t="s">
        <v>1984</v>
      </c>
      <c r="D39" s="16" t="s">
        <v>1985</v>
      </c>
      <c r="E39" s="16"/>
      <c r="F39" s="16"/>
      <c r="G39" s="16"/>
      <c r="H39" s="16"/>
      <c r="I39" s="16" t="s">
        <v>1053</v>
      </c>
      <c r="J39" s="16" t="s">
        <v>1054</v>
      </c>
      <c r="K39" s="16"/>
      <c r="L39" s="3"/>
    </row>
    <row r="40" spans="2:12">
      <c r="B40" s="8">
        <v>35</v>
      </c>
      <c r="C40" s="16" t="s">
        <v>1986</v>
      </c>
      <c r="D40" s="16" t="s">
        <v>1987</v>
      </c>
      <c r="E40" s="16"/>
      <c r="F40" s="16"/>
      <c r="G40" s="16"/>
      <c r="H40" s="16"/>
      <c r="I40" s="16" t="s">
        <v>1053</v>
      </c>
      <c r="J40" s="16" t="s">
        <v>1054</v>
      </c>
      <c r="K40" s="16"/>
      <c r="L40" s="3"/>
    </row>
    <row r="41" spans="2:12">
      <c r="B41" s="8">
        <v>36</v>
      </c>
      <c r="C41" s="16" t="s">
        <v>1988</v>
      </c>
      <c r="D41" s="16" t="s">
        <v>1989</v>
      </c>
      <c r="E41" s="16"/>
      <c r="F41" s="16"/>
      <c r="G41" s="16"/>
      <c r="H41" s="16"/>
      <c r="I41" s="16" t="s">
        <v>1053</v>
      </c>
      <c r="J41" s="16" t="s">
        <v>1054</v>
      </c>
      <c r="K41" s="16"/>
      <c r="L41" s="3"/>
    </row>
    <row r="42" spans="2:12">
      <c r="B42" s="8">
        <v>37</v>
      </c>
      <c r="C42" s="16" t="s">
        <v>1990</v>
      </c>
      <c r="D42" s="16" t="s">
        <v>1991</v>
      </c>
      <c r="E42" s="16"/>
      <c r="F42" s="16"/>
      <c r="G42" s="16"/>
      <c r="H42" s="16"/>
      <c r="I42" s="16" t="s">
        <v>1053</v>
      </c>
      <c r="J42" s="16" t="s">
        <v>1054</v>
      </c>
      <c r="K42" s="16"/>
      <c r="L42" s="3"/>
    </row>
    <row r="43" spans="2:12">
      <c r="B43" s="8">
        <v>38</v>
      </c>
      <c r="C43" s="16" t="s">
        <v>1992</v>
      </c>
      <c r="D43" s="16" t="s">
        <v>1993</v>
      </c>
      <c r="E43" s="16"/>
      <c r="F43" s="16"/>
      <c r="G43" s="16"/>
      <c r="H43" s="16"/>
      <c r="I43" s="16" t="s">
        <v>1053</v>
      </c>
      <c r="J43" s="16" t="s">
        <v>1054</v>
      </c>
      <c r="K43" s="16"/>
      <c r="L43" s="3"/>
    </row>
    <row r="44" spans="2:12">
      <c r="B44" s="8">
        <v>39</v>
      </c>
      <c r="C44" s="16" t="s">
        <v>1994</v>
      </c>
      <c r="D44" s="16" t="s">
        <v>1995</v>
      </c>
      <c r="E44" s="16"/>
      <c r="F44" s="16"/>
      <c r="G44" s="16"/>
      <c r="H44" s="16"/>
      <c r="I44" s="16" t="s">
        <v>1053</v>
      </c>
      <c r="J44" s="16" t="s">
        <v>1054</v>
      </c>
      <c r="K44" s="16"/>
      <c r="L44" s="3"/>
    </row>
    <row r="45" spans="2:12">
      <c r="B45" s="8">
        <v>40</v>
      </c>
      <c r="C45" s="16" t="s">
        <v>1996</v>
      </c>
      <c r="D45" s="16" t="s">
        <v>1997</v>
      </c>
      <c r="E45" s="16"/>
      <c r="F45" s="16"/>
      <c r="G45" s="16"/>
      <c r="H45" s="16"/>
      <c r="I45" s="16" t="s">
        <v>1053</v>
      </c>
      <c r="J45" s="16" t="s">
        <v>1054</v>
      </c>
      <c r="K45" s="16"/>
      <c r="L45" s="3"/>
    </row>
    <row r="46" spans="2:12">
      <c r="B46" s="8">
        <v>41</v>
      </c>
      <c r="C46" s="16" t="s">
        <v>1998</v>
      </c>
      <c r="D46" s="16" t="s">
        <v>1999</v>
      </c>
      <c r="E46" s="16"/>
      <c r="F46" s="16"/>
      <c r="G46" s="16"/>
      <c r="H46" s="16"/>
      <c r="I46" s="16" t="s">
        <v>1053</v>
      </c>
      <c r="J46" s="16" t="s">
        <v>1054</v>
      </c>
      <c r="K46" s="16"/>
      <c r="L46" s="3"/>
    </row>
    <row r="47" spans="2:12">
      <c r="B47" s="8">
        <v>42</v>
      </c>
      <c r="C47" s="16" t="s">
        <v>2000</v>
      </c>
      <c r="D47" s="16" t="s">
        <v>2001</v>
      </c>
      <c r="E47" s="16"/>
      <c r="F47" s="16"/>
      <c r="G47" s="16"/>
      <c r="H47" s="16"/>
      <c r="I47" s="16" t="s">
        <v>1053</v>
      </c>
      <c r="J47" s="16" t="s">
        <v>1054</v>
      </c>
      <c r="K47" s="16"/>
      <c r="L47" s="3"/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7E29B91E-7691-491B-8CE6-7884381BB514}"/>
  </hyperlinks>
  <pageMargins left="0.7" right="0.7" top="0.75" bottom="0.75" header="0.3" footer="0.3"/>
  <pageSetup paperSize="9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09980-21C2-4FEE-8DCF-F98FAE445E2E}">
  <sheetPr codeName="Sheet20">
    <tabColor rgb="FF92D050"/>
  </sheetPr>
  <dimension ref="A1:L61"/>
  <sheetViews>
    <sheetView topLeftCell="G50" workbookViewId="0">
      <selection activeCell="K62" sqref="K62"/>
    </sheetView>
  </sheetViews>
  <sheetFormatPr defaultRowHeight="16.5"/>
  <cols>
    <col min="2" max="2" width="9.625" bestFit="1" customWidth="1"/>
    <col min="3" max="3" width="20.5" bestFit="1" customWidth="1"/>
    <col min="4" max="4" width="23.5" bestFit="1" customWidth="1"/>
    <col min="5" max="5" width="3.75" bestFit="1" customWidth="1"/>
    <col min="6" max="6" width="3.75" customWidth="1"/>
    <col min="7" max="7" width="25.125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2" ht="20.25">
      <c r="A1" s="4"/>
      <c r="B1" s="258" t="s">
        <v>1492</v>
      </c>
      <c r="D1" s="482" t="s">
        <v>2002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83"/>
      <c r="D3" s="494" t="s">
        <v>723</v>
      </c>
      <c r="E3" s="494"/>
      <c r="F3" s="494"/>
      <c r="G3" s="494"/>
      <c r="H3" s="495" t="s">
        <v>724</v>
      </c>
      <c r="I3" s="495"/>
      <c r="J3" s="495"/>
      <c r="K3" s="11"/>
      <c r="L3" s="11"/>
    </row>
    <row r="4" spans="1:12">
      <c r="A4" s="4"/>
      <c r="B4" s="483" t="s">
        <v>1231</v>
      </c>
      <c r="C4" s="483"/>
      <c r="D4" s="498" t="s">
        <v>1373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2">
      <c r="A6" t="s">
        <v>1650</v>
      </c>
      <c r="B6" s="256">
        <v>1</v>
      </c>
      <c r="C6" s="256" t="s">
        <v>1515</v>
      </c>
      <c r="D6" s="257" t="s">
        <v>1546</v>
      </c>
      <c r="E6" s="256" t="s">
        <v>1065</v>
      </c>
      <c r="F6" s="256"/>
      <c r="G6" s="256"/>
      <c r="H6" s="256" t="s">
        <v>1065</v>
      </c>
      <c r="I6" s="256" t="s">
        <v>947</v>
      </c>
      <c r="J6" s="256">
        <v>20</v>
      </c>
      <c r="K6" s="139"/>
      <c r="L6" s="138"/>
    </row>
    <row r="7" spans="1:12">
      <c r="A7" s="4"/>
      <c r="B7" s="8">
        <v>2</v>
      </c>
      <c r="C7" s="8" t="s">
        <v>270</v>
      </c>
      <c r="D7" s="432" t="s">
        <v>2003</v>
      </c>
      <c r="E7" s="16" t="s">
        <v>1807</v>
      </c>
      <c r="F7" s="8"/>
      <c r="G7" s="8"/>
      <c r="H7" s="16" t="s">
        <v>1807</v>
      </c>
      <c r="I7" s="16" t="s">
        <v>947</v>
      </c>
      <c r="J7" s="16">
        <v>6</v>
      </c>
      <c r="K7" s="31" t="s">
        <v>1123</v>
      </c>
      <c r="L7" s="33"/>
    </row>
    <row r="8" spans="1:12">
      <c r="A8" s="4"/>
      <c r="B8" s="8">
        <v>3</v>
      </c>
      <c r="C8" s="8" t="s">
        <v>274</v>
      </c>
      <c r="D8" s="42" t="s">
        <v>1913</v>
      </c>
      <c r="E8" s="16" t="s">
        <v>1807</v>
      </c>
      <c r="F8" s="8"/>
      <c r="G8" s="8"/>
      <c r="H8" s="16" t="s">
        <v>1807</v>
      </c>
      <c r="I8" s="16" t="s">
        <v>947</v>
      </c>
      <c r="J8" s="16">
        <v>6</v>
      </c>
      <c r="K8" s="31" t="s">
        <v>2004</v>
      </c>
      <c r="L8" s="33"/>
    </row>
    <row r="9" spans="1:12">
      <c r="A9" s="4"/>
      <c r="B9" s="8">
        <v>4</v>
      </c>
      <c r="C9" s="8" t="s">
        <v>1914</v>
      </c>
      <c r="D9" s="42" t="s">
        <v>1039</v>
      </c>
      <c r="E9" s="16" t="s">
        <v>1807</v>
      </c>
      <c r="F9" s="16"/>
      <c r="G9" s="8"/>
      <c r="H9" s="16" t="s">
        <v>1807</v>
      </c>
      <c r="I9" s="16" t="s">
        <v>947</v>
      </c>
      <c r="J9" s="16">
        <v>30</v>
      </c>
      <c r="K9" s="33"/>
      <c r="L9" s="33"/>
    </row>
    <row r="10" spans="1:12">
      <c r="A10" s="4" t="s">
        <v>2005</v>
      </c>
      <c r="B10" s="363" t="s">
        <v>2006</v>
      </c>
      <c r="C10" s="161" t="s">
        <v>1762</v>
      </c>
      <c r="D10" s="41" t="s">
        <v>1229</v>
      </c>
      <c r="E10" s="16"/>
      <c r="F10" s="8"/>
      <c r="G10" s="8"/>
      <c r="H10" s="16" t="s">
        <v>1807</v>
      </c>
      <c r="I10" s="16" t="s">
        <v>1614</v>
      </c>
      <c r="J10" s="16">
        <v>6</v>
      </c>
      <c r="K10" s="117" t="s">
        <v>2007</v>
      </c>
      <c r="L10" s="33"/>
    </row>
    <row r="11" spans="1:12" ht="121.5">
      <c r="A11" s="4"/>
      <c r="B11" s="8">
        <v>5</v>
      </c>
      <c r="C11" s="21" t="s">
        <v>2008</v>
      </c>
      <c r="D11" s="8" t="s">
        <v>2009</v>
      </c>
      <c r="E11" s="16" t="s">
        <v>1807</v>
      </c>
      <c r="F11" s="8"/>
      <c r="G11" s="8"/>
      <c r="H11" s="16" t="s">
        <v>1807</v>
      </c>
      <c r="I11" s="16" t="s">
        <v>947</v>
      </c>
      <c r="J11" s="16">
        <v>5</v>
      </c>
      <c r="K11" s="117" t="s">
        <v>2010</v>
      </c>
      <c r="L11" s="33"/>
    </row>
    <row r="12" spans="1:12">
      <c r="B12" s="8">
        <v>6</v>
      </c>
      <c r="C12" s="26" t="s">
        <v>2011</v>
      </c>
      <c r="D12" s="111" t="s">
        <v>2012</v>
      </c>
      <c r="E12" s="3"/>
      <c r="F12" s="3"/>
      <c r="G12" s="3" t="s">
        <v>2013</v>
      </c>
      <c r="H12" s="3"/>
      <c r="I12" s="16" t="s">
        <v>1053</v>
      </c>
      <c r="J12" s="16" t="s">
        <v>1054</v>
      </c>
      <c r="K12" s="79"/>
      <c r="L12" s="80"/>
    </row>
    <row r="13" spans="1:12">
      <c r="B13" s="8">
        <v>7</v>
      </c>
      <c r="C13" s="26" t="s">
        <v>807</v>
      </c>
      <c r="D13" s="111" t="s">
        <v>2014</v>
      </c>
      <c r="E13" s="3"/>
      <c r="F13" s="3"/>
      <c r="G13" s="3"/>
      <c r="H13" s="3"/>
      <c r="I13" s="16" t="s">
        <v>1053</v>
      </c>
      <c r="J13" s="16" t="s">
        <v>1054</v>
      </c>
      <c r="K13" s="79"/>
      <c r="L13" s="80"/>
    </row>
    <row r="14" spans="1:12">
      <c r="B14" s="8">
        <v>8</v>
      </c>
      <c r="C14" s="26" t="s">
        <v>813</v>
      </c>
      <c r="D14" s="111" t="s">
        <v>2015</v>
      </c>
      <c r="E14" s="3"/>
      <c r="F14" s="3"/>
      <c r="G14" s="3"/>
      <c r="H14" s="3"/>
      <c r="I14" s="16" t="s">
        <v>1053</v>
      </c>
      <c r="J14" s="16" t="s">
        <v>1054</v>
      </c>
      <c r="K14" s="16"/>
      <c r="L14" s="3"/>
    </row>
    <row r="15" spans="1:12">
      <c r="B15" s="8">
        <v>9</v>
      </c>
      <c r="C15" s="26" t="s">
        <v>817</v>
      </c>
      <c r="D15" s="111" t="s">
        <v>2016</v>
      </c>
      <c r="E15" s="3"/>
      <c r="F15" s="3"/>
      <c r="G15" s="3"/>
      <c r="H15" s="3"/>
      <c r="I15" s="16" t="s">
        <v>1053</v>
      </c>
      <c r="J15" s="16" t="s">
        <v>1054</v>
      </c>
      <c r="K15" s="16"/>
      <c r="L15" s="3"/>
    </row>
    <row r="16" spans="1:12">
      <c r="B16" s="8">
        <v>10</v>
      </c>
      <c r="C16" s="26" t="s">
        <v>821</v>
      </c>
      <c r="D16" s="111" t="s">
        <v>2017</v>
      </c>
      <c r="E16" s="3"/>
      <c r="F16" s="3"/>
      <c r="G16" s="3"/>
      <c r="H16" s="3"/>
      <c r="I16" s="16" t="s">
        <v>1053</v>
      </c>
      <c r="J16" s="16" t="s">
        <v>1054</v>
      </c>
      <c r="K16" s="16"/>
      <c r="L16" s="3"/>
    </row>
    <row r="17" spans="1:12">
      <c r="B17" s="8">
        <v>11</v>
      </c>
      <c r="C17" s="26" t="s">
        <v>825</v>
      </c>
      <c r="D17" s="111" t="s">
        <v>2018</v>
      </c>
      <c r="E17" s="3"/>
      <c r="F17" s="3"/>
      <c r="G17" s="3"/>
      <c r="H17" s="3"/>
      <c r="I17" s="16" t="s">
        <v>1053</v>
      </c>
      <c r="J17" s="16" t="s">
        <v>1054</v>
      </c>
      <c r="K17" s="16"/>
      <c r="L17" s="3"/>
    </row>
    <row r="18" spans="1:12">
      <c r="B18" s="8">
        <v>12</v>
      </c>
      <c r="C18" s="26" t="s">
        <v>827</v>
      </c>
      <c r="D18" s="111" t="s">
        <v>2019</v>
      </c>
      <c r="E18" s="3"/>
      <c r="F18" s="3"/>
      <c r="G18" s="3"/>
      <c r="H18" s="3"/>
      <c r="I18" s="16" t="s">
        <v>1053</v>
      </c>
      <c r="J18" s="16" t="s">
        <v>1054</v>
      </c>
      <c r="K18" s="16"/>
      <c r="L18" s="3"/>
    </row>
    <row r="19" spans="1:12">
      <c r="B19" s="8">
        <v>13</v>
      </c>
      <c r="C19" s="26" t="s">
        <v>829</v>
      </c>
      <c r="D19" s="111" t="s">
        <v>2020</v>
      </c>
      <c r="E19" s="3"/>
      <c r="F19" s="3"/>
      <c r="G19" s="3"/>
      <c r="H19" s="3"/>
      <c r="I19" s="16" t="s">
        <v>1053</v>
      </c>
      <c r="J19" s="16" t="s">
        <v>1054</v>
      </c>
      <c r="K19" s="16"/>
      <c r="L19" s="3"/>
    </row>
    <row r="20" spans="1:12">
      <c r="B20" s="8">
        <v>14</v>
      </c>
      <c r="C20" s="26" t="s">
        <v>831</v>
      </c>
      <c r="D20" s="111" t="s">
        <v>2021</v>
      </c>
      <c r="E20" s="3"/>
      <c r="F20" s="3"/>
      <c r="G20" s="3"/>
      <c r="H20" s="3"/>
      <c r="I20" s="16" t="s">
        <v>1053</v>
      </c>
      <c r="J20" s="16" t="s">
        <v>1054</v>
      </c>
      <c r="K20" s="16"/>
      <c r="L20" s="3"/>
    </row>
    <row r="21" spans="1:12">
      <c r="B21" s="8">
        <v>15</v>
      </c>
      <c r="C21" s="26" t="s">
        <v>833</v>
      </c>
      <c r="D21" s="111" t="s">
        <v>2022</v>
      </c>
      <c r="E21" s="3"/>
      <c r="F21" s="3"/>
      <c r="G21" s="3"/>
      <c r="H21" s="3"/>
      <c r="I21" s="16" t="s">
        <v>1053</v>
      </c>
      <c r="J21" s="16" t="s">
        <v>1054</v>
      </c>
      <c r="K21" s="16"/>
      <c r="L21" s="3"/>
    </row>
    <row r="22" spans="1:12">
      <c r="B22" s="8">
        <v>16</v>
      </c>
      <c r="C22" s="26" t="s">
        <v>835</v>
      </c>
      <c r="D22" s="111" t="s">
        <v>2023</v>
      </c>
      <c r="E22" s="3"/>
      <c r="F22" s="3"/>
      <c r="G22" s="3"/>
      <c r="H22" s="3"/>
      <c r="I22" s="16" t="s">
        <v>1053</v>
      </c>
      <c r="J22" s="16" t="s">
        <v>1054</v>
      </c>
      <c r="K22" s="16"/>
      <c r="L22" s="3"/>
    </row>
    <row r="23" spans="1:12">
      <c r="B23" s="8">
        <v>17</v>
      </c>
      <c r="C23" s="26" t="s">
        <v>837</v>
      </c>
      <c r="D23" s="111" t="s">
        <v>2024</v>
      </c>
      <c r="E23" s="3"/>
      <c r="F23" s="3"/>
      <c r="G23" s="3"/>
      <c r="H23" s="3"/>
      <c r="I23" s="16" t="s">
        <v>1053</v>
      </c>
      <c r="J23" s="16" t="s">
        <v>2025</v>
      </c>
      <c r="K23" s="16"/>
      <c r="L23" s="3"/>
    </row>
    <row r="24" spans="1:12">
      <c r="A24" s="4"/>
      <c r="B24" s="8">
        <v>18</v>
      </c>
      <c r="C24" s="16" t="s">
        <v>2026</v>
      </c>
      <c r="D24" s="16" t="s">
        <v>1955</v>
      </c>
      <c r="E24" s="8"/>
      <c r="F24" s="8"/>
      <c r="G24" s="8"/>
      <c r="H24" s="8"/>
      <c r="I24" s="16" t="s">
        <v>1053</v>
      </c>
      <c r="J24" s="16" t="s">
        <v>2025</v>
      </c>
      <c r="K24" s="31"/>
      <c r="L24" s="8"/>
    </row>
    <row r="25" spans="1:12">
      <c r="A25" s="4"/>
      <c r="B25" s="8">
        <v>19</v>
      </c>
      <c r="C25" s="16" t="s">
        <v>841</v>
      </c>
      <c r="D25" s="16" t="s">
        <v>1956</v>
      </c>
      <c r="E25" s="8"/>
      <c r="F25" s="8"/>
      <c r="G25" s="8"/>
      <c r="H25" s="8"/>
      <c r="I25" s="16" t="s">
        <v>1053</v>
      </c>
      <c r="J25" s="16" t="s">
        <v>2025</v>
      </c>
      <c r="K25" s="31"/>
      <c r="L25" s="8"/>
    </row>
    <row r="26" spans="1:12">
      <c r="A26" s="4"/>
      <c r="B26" s="8">
        <v>20</v>
      </c>
      <c r="C26" s="16" t="s">
        <v>843</v>
      </c>
      <c r="D26" s="16" t="s">
        <v>1957</v>
      </c>
      <c r="E26" s="8"/>
      <c r="F26" s="8"/>
      <c r="G26" s="8"/>
      <c r="H26" s="8"/>
      <c r="I26" s="16" t="s">
        <v>1053</v>
      </c>
      <c r="J26" s="16" t="s">
        <v>2025</v>
      </c>
      <c r="K26" s="31"/>
      <c r="L26" s="8"/>
    </row>
    <row r="27" spans="1:12">
      <c r="A27" s="4"/>
      <c r="B27" s="8">
        <v>21</v>
      </c>
      <c r="C27" s="16" t="s">
        <v>845</v>
      </c>
      <c r="D27" s="16" t="s">
        <v>1958</v>
      </c>
      <c r="E27" s="8"/>
      <c r="F27" s="8"/>
      <c r="G27" s="8"/>
      <c r="H27" s="8"/>
      <c r="I27" s="16" t="s">
        <v>1053</v>
      </c>
      <c r="J27" s="16" t="s">
        <v>2025</v>
      </c>
      <c r="K27" s="31"/>
      <c r="L27" s="8"/>
    </row>
    <row r="28" spans="1:12">
      <c r="A28" s="4"/>
      <c r="B28" s="8">
        <v>22</v>
      </c>
      <c r="C28" s="16" t="s">
        <v>847</v>
      </c>
      <c r="D28" s="16" t="s">
        <v>1959</v>
      </c>
      <c r="E28" s="8"/>
      <c r="F28" s="8"/>
      <c r="G28" s="8"/>
      <c r="H28" s="8"/>
      <c r="I28" s="16" t="s">
        <v>1053</v>
      </c>
      <c r="J28" s="16" t="s">
        <v>2025</v>
      </c>
      <c r="K28" s="31"/>
      <c r="L28" s="8"/>
    </row>
    <row r="29" spans="1:12">
      <c r="A29" s="4"/>
      <c r="B29" s="8">
        <v>23</v>
      </c>
      <c r="C29" s="16" t="s">
        <v>849</v>
      </c>
      <c r="D29" s="16" t="s">
        <v>1960</v>
      </c>
      <c r="E29" s="8"/>
      <c r="F29" s="8"/>
      <c r="G29" s="8"/>
      <c r="H29" s="8"/>
      <c r="I29" s="16" t="s">
        <v>1053</v>
      </c>
      <c r="J29" s="16" t="s">
        <v>2025</v>
      </c>
      <c r="K29" s="31"/>
      <c r="L29" s="8"/>
    </row>
    <row r="30" spans="1:12">
      <c r="A30" s="4"/>
      <c r="B30" s="8">
        <v>24</v>
      </c>
      <c r="C30" s="16" t="s">
        <v>851</v>
      </c>
      <c r="D30" s="16" t="s">
        <v>1961</v>
      </c>
      <c r="E30" s="8"/>
      <c r="F30" s="8"/>
      <c r="G30" s="8"/>
      <c r="H30" s="8"/>
      <c r="I30" s="16" t="s">
        <v>1053</v>
      </c>
      <c r="J30" s="16" t="s">
        <v>2025</v>
      </c>
      <c r="K30" s="31"/>
      <c r="L30" s="8"/>
    </row>
    <row r="31" spans="1:12">
      <c r="A31" s="4"/>
      <c r="B31" s="8">
        <v>25</v>
      </c>
      <c r="C31" s="16" t="s">
        <v>853</v>
      </c>
      <c r="D31" s="16" t="s">
        <v>1962</v>
      </c>
      <c r="E31" s="8"/>
      <c r="F31" s="8"/>
      <c r="G31" s="8"/>
      <c r="H31" s="8"/>
      <c r="I31" s="16" t="s">
        <v>1053</v>
      </c>
      <c r="J31" s="16" t="s">
        <v>2025</v>
      </c>
      <c r="K31" s="31"/>
      <c r="L31" s="8"/>
    </row>
    <row r="32" spans="1:12">
      <c r="A32" s="4"/>
      <c r="B32" s="8">
        <v>26</v>
      </c>
      <c r="C32" s="16" t="s">
        <v>855</v>
      </c>
      <c r="D32" s="16" t="s">
        <v>1052</v>
      </c>
      <c r="E32" s="8"/>
      <c r="F32" s="8"/>
      <c r="G32" s="8"/>
      <c r="H32" s="8"/>
      <c r="I32" s="16" t="s">
        <v>1053</v>
      </c>
      <c r="J32" s="16" t="s">
        <v>2025</v>
      </c>
      <c r="K32" s="31"/>
      <c r="L32" s="8"/>
    </row>
    <row r="33" spans="1:12">
      <c r="A33" s="4"/>
      <c r="B33" s="8">
        <v>27</v>
      </c>
      <c r="C33" s="16" t="s">
        <v>857</v>
      </c>
      <c r="D33" s="16" t="s">
        <v>1963</v>
      </c>
      <c r="E33" s="8"/>
      <c r="F33" s="8"/>
      <c r="G33" s="8"/>
      <c r="H33" s="8"/>
      <c r="I33" s="16" t="s">
        <v>1053</v>
      </c>
      <c r="J33" s="16" t="s">
        <v>2025</v>
      </c>
      <c r="K33" s="31"/>
      <c r="L33" s="8"/>
    </row>
    <row r="34" spans="1:12">
      <c r="A34" s="4"/>
      <c r="B34" s="8">
        <v>28</v>
      </c>
      <c r="C34" s="16" t="s">
        <v>859</v>
      </c>
      <c r="D34" s="16" t="s">
        <v>1964</v>
      </c>
      <c r="E34" s="8"/>
      <c r="F34" s="8"/>
      <c r="G34" s="8"/>
      <c r="H34" s="8"/>
      <c r="I34" s="16" t="s">
        <v>1053</v>
      </c>
      <c r="J34" s="16" t="s">
        <v>2025</v>
      </c>
      <c r="K34" s="31"/>
      <c r="L34" s="8"/>
    </row>
    <row r="35" spans="1:12">
      <c r="B35" s="8">
        <v>29</v>
      </c>
      <c r="C35" s="16" t="s">
        <v>861</v>
      </c>
      <c r="D35" s="16" t="s">
        <v>1965</v>
      </c>
      <c r="E35" s="16"/>
      <c r="F35" s="16"/>
      <c r="G35" s="16"/>
      <c r="H35" s="16"/>
      <c r="I35" s="16" t="s">
        <v>1053</v>
      </c>
      <c r="J35" s="16" t="s">
        <v>1054</v>
      </c>
      <c r="K35" s="16" t="s">
        <v>2027</v>
      </c>
      <c r="L35" s="16"/>
    </row>
    <row r="36" spans="1:12">
      <c r="B36" s="8">
        <v>30</v>
      </c>
      <c r="C36" s="16" t="s">
        <v>2028</v>
      </c>
      <c r="D36" s="16" t="s">
        <v>1966</v>
      </c>
      <c r="E36" s="16"/>
      <c r="F36" s="16"/>
      <c r="G36" s="16"/>
      <c r="H36" s="16"/>
      <c r="I36" s="16" t="s">
        <v>1053</v>
      </c>
      <c r="J36" s="16" t="s">
        <v>1054</v>
      </c>
      <c r="K36" s="16" t="s">
        <v>1094</v>
      </c>
      <c r="L36" s="16"/>
    </row>
    <row r="37" spans="1:12">
      <c r="B37" s="8">
        <v>31</v>
      </c>
      <c r="C37" s="16" t="s">
        <v>865</v>
      </c>
      <c r="D37" s="16" t="s">
        <v>1967</v>
      </c>
      <c r="E37" s="16"/>
      <c r="F37" s="16"/>
      <c r="G37" s="16"/>
      <c r="H37" s="16"/>
      <c r="I37" s="16" t="s">
        <v>1053</v>
      </c>
      <c r="J37" s="16" t="s">
        <v>1054</v>
      </c>
      <c r="K37" s="16" t="s">
        <v>1094</v>
      </c>
      <c r="L37" s="16"/>
    </row>
    <row r="38" spans="1:12">
      <c r="B38" s="8">
        <v>32</v>
      </c>
      <c r="C38" s="16" t="s">
        <v>867</v>
      </c>
      <c r="D38" s="16" t="s">
        <v>1968</v>
      </c>
      <c r="E38" s="16"/>
      <c r="F38" s="16"/>
      <c r="G38" s="16"/>
      <c r="H38" s="16"/>
      <c r="I38" s="16" t="s">
        <v>1053</v>
      </c>
      <c r="J38" s="16" t="s">
        <v>1054</v>
      </c>
      <c r="K38" s="16" t="s">
        <v>1094</v>
      </c>
      <c r="L38" s="16"/>
    </row>
    <row r="39" spans="1:12">
      <c r="B39" s="8">
        <v>33</v>
      </c>
      <c r="C39" s="16" t="s">
        <v>869</v>
      </c>
      <c r="D39" s="16" t="s">
        <v>1969</v>
      </c>
      <c r="E39" s="16"/>
      <c r="F39" s="16"/>
      <c r="G39" s="16"/>
      <c r="H39" s="16"/>
      <c r="I39" s="16" t="s">
        <v>1053</v>
      </c>
      <c r="J39" s="16" t="s">
        <v>1054</v>
      </c>
      <c r="K39" s="16" t="s">
        <v>1094</v>
      </c>
      <c r="L39" s="16"/>
    </row>
    <row r="40" spans="1:12">
      <c r="B40" s="8">
        <v>34</v>
      </c>
      <c r="C40" s="16" t="s">
        <v>871</v>
      </c>
      <c r="D40" s="16" t="s">
        <v>1970</v>
      </c>
      <c r="E40" s="16"/>
      <c r="F40" s="16"/>
      <c r="G40" s="16"/>
      <c r="H40" s="16"/>
      <c r="I40" s="16" t="s">
        <v>1053</v>
      </c>
      <c r="J40" s="16" t="s">
        <v>1054</v>
      </c>
      <c r="K40" s="16" t="s">
        <v>1094</v>
      </c>
      <c r="L40" s="16"/>
    </row>
    <row r="41" spans="1:12">
      <c r="B41" s="8">
        <v>35</v>
      </c>
      <c r="C41" s="16" t="s">
        <v>873</v>
      </c>
      <c r="D41" s="16" t="s">
        <v>1971</v>
      </c>
      <c r="E41" s="16"/>
      <c r="F41" s="16"/>
      <c r="G41" s="16"/>
      <c r="H41" s="16"/>
      <c r="I41" s="16" t="s">
        <v>1053</v>
      </c>
      <c r="J41" s="16" t="s">
        <v>1054</v>
      </c>
      <c r="K41" s="16" t="s">
        <v>1094</v>
      </c>
      <c r="L41" s="16"/>
    </row>
    <row r="42" spans="1:12">
      <c r="B42" s="8">
        <v>36</v>
      </c>
      <c r="C42" s="16" t="s">
        <v>875</v>
      </c>
      <c r="D42" s="16" t="s">
        <v>1972</v>
      </c>
      <c r="E42" s="16"/>
      <c r="F42" s="16"/>
      <c r="G42" s="16"/>
      <c r="H42" s="16"/>
      <c r="I42" s="16" t="s">
        <v>1053</v>
      </c>
      <c r="J42" s="16" t="s">
        <v>1054</v>
      </c>
      <c r="K42" s="16" t="s">
        <v>1094</v>
      </c>
      <c r="L42" s="16"/>
    </row>
    <row r="43" spans="1:12">
      <c r="B43" s="8">
        <v>37</v>
      </c>
      <c r="C43" s="16" t="s">
        <v>877</v>
      </c>
      <c r="D43" s="16" t="s">
        <v>1973</v>
      </c>
      <c r="E43" s="16"/>
      <c r="F43" s="16"/>
      <c r="G43" s="16"/>
      <c r="H43" s="16"/>
      <c r="I43" s="16" t="s">
        <v>1053</v>
      </c>
      <c r="J43" s="16" t="s">
        <v>1054</v>
      </c>
      <c r="K43" s="16" t="s">
        <v>1094</v>
      </c>
      <c r="L43" s="16"/>
    </row>
    <row r="44" spans="1:12">
      <c r="B44" s="8">
        <v>38</v>
      </c>
      <c r="C44" s="16" t="s">
        <v>879</v>
      </c>
      <c r="D44" s="16" t="s">
        <v>1974</v>
      </c>
      <c r="E44" s="16"/>
      <c r="F44" s="16"/>
      <c r="G44" s="16"/>
      <c r="H44" s="16"/>
      <c r="I44" s="16" t="s">
        <v>1053</v>
      </c>
      <c r="J44" s="16" t="s">
        <v>1054</v>
      </c>
      <c r="K44" s="16" t="s">
        <v>1094</v>
      </c>
      <c r="L44" s="16"/>
    </row>
    <row r="45" spans="1:12">
      <c r="B45" s="8">
        <v>39</v>
      </c>
      <c r="C45" s="16" t="s">
        <v>881</v>
      </c>
      <c r="D45" s="16" t="s">
        <v>1975</v>
      </c>
      <c r="E45" s="16"/>
      <c r="F45" s="16"/>
      <c r="G45" s="16"/>
      <c r="H45" s="16"/>
      <c r="I45" s="16" t="s">
        <v>1053</v>
      </c>
      <c r="J45" s="16" t="s">
        <v>1054</v>
      </c>
      <c r="K45" s="16" t="s">
        <v>1094</v>
      </c>
      <c r="L45" s="16"/>
    </row>
    <row r="46" spans="1:12">
      <c r="B46" s="8">
        <v>40</v>
      </c>
      <c r="C46" s="16" t="s">
        <v>883</v>
      </c>
      <c r="D46" s="16" t="s">
        <v>1976</v>
      </c>
      <c r="E46" s="16"/>
      <c r="F46" s="16"/>
      <c r="G46" s="16"/>
      <c r="H46" s="16"/>
      <c r="I46" s="16" t="s">
        <v>1053</v>
      </c>
      <c r="J46" s="16" t="s">
        <v>1054</v>
      </c>
      <c r="K46" s="16" t="s">
        <v>1094</v>
      </c>
      <c r="L46" s="16"/>
    </row>
    <row r="47" spans="1:12">
      <c r="B47" s="8">
        <v>41</v>
      </c>
      <c r="C47" s="16" t="s">
        <v>885</v>
      </c>
      <c r="D47" s="16" t="s">
        <v>1977</v>
      </c>
      <c r="E47" s="16"/>
      <c r="F47" s="16"/>
      <c r="G47" s="16"/>
      <c r="H47" s="16"/>
      <c r="I47" s="16" t="s">
        <v>1053</v>
      </c>
      <c r="J47" s="16" t="s">
        <v>1054</v>
      </c>
      <c r="K47" s="16" t="s">
        <v>1094</v>
      </c>
      <c r="L47" s="16"/>
    </row>
    <row r="48" spans="1:12">
      <c r="B48" s="8">
        <v>42</v>
      </c>
      <c r="C48" s="16" t="s">
        <v>1978</v>
      </c>
      <c r="D48" s="16" t="s">
        <v>1979</v>
      </c>
      <c r="E48" s="3"/>
      <c r="F48" s="3"/>
      <c r="G48" s="3"/>
      <c r="H48" s="3"/>
      <c r="I48" s="16" t="s">
        <v>1053</v>
      </c>
      <c r="J48" s="16" t="s">
        <v>1054</v>
      </c>
      <c r="K48" s="16" t="s">
        <v>2029</v>
      </c>
      <c r="L48" s="3"/>
    </row>
    <row r="49" spans="2:12">
      <c r="B49" s="8">
        <v>43</v>
      </c>
      <c r="C49" s="16" t="s">
        <v>1980</v>
      </c>
      <c r="D49" s="16" t="s">
        <v>1981</v>
      </c>
      <c r="E49" s="3"/>
      <c r="F49" s="3"/>
      <c r="G49" s="3"/>
      <c r="H49" s="3"/>
      <c r="I49" s="16" t="s">
        <v>1053</v>
      </c>
      <c r="J49" s="16" t="s">
        <v>1054</v>
      </c>
      <c r="K49" s="16" t="s">
        <v>2029</v>
      </c>
      <c r="L49" s="3"/>
    </row>
    <row r="50" spans="2:12">
      <c r="B50" s="8">
        <v>44</v>
      </c>
      <c r="C50" s="16" t="s">
        <v>1982</v>
      </c>
      <c r="D50" s="16" t="s">
        <v>1983</v>
      </c>
      <c r="E50" s="3"/>
      <c r="F50" s="3"/>
      <c r="G50" s="3"/>
      <c r="H50" s="3"/>
      <c r="I50" s="16" t="s">
        <v>1053</v>
      </c>
      <c r="J50" s="16" t="s">
        <v>1054</v>
      </c>
      <c r="K50" s="16" t="s">
        <v>2029</v>
      </c>
      <c r="L50" s="3"/>
    </row>
    <row r="51" spans="2:12">
      <c r="B51" s="8">
        <v>45</v>
      </c>
      <c r="C51" s="16" t="s">
        <v>1984</v>
      </c>
      <c r="D51" s="16" t="s">
        <v>1985</v>
      </c>
      <c r="E51" s="3"/>
      <c r="F51" s="3"/>
      <c r="G51" s="3"/>
      <c r="H51" s="3"/>
      <c r="I51" s="16" t="s">
        <v>1053</v>
      </c>
      <c r="J51" s="16" t="s">
        <v>1054</v>
      </c>
      <c r="K51" s="16" t="s">
        <v>2029</v>
      </c>
      <c r="L51" s="3"/>
    </row>
    <row r="52" spans="2:12">
      <c r="B52" s="8">
        <v>46</v>
      </c>
      <c r="C52" s="16" t="s">
        <v>1986</v>
      </c>
      <c r="D52" s="16" t="s">
        <v>1987</v>
      </c>
      <c r="E52" s="3"/>
      <c r="F52" s="3"/>
      <c r="G52" s="3"/>
      <c r="H52" s="3"/>
      <c r="I52" s="16" t="s">
        <v>1053</v>
      </c>
      <c r="J52" s="16" t="s">
        <v>1054</v>
      </c>
      <c r="K52" s="16" t="s">
        <v>2029</v>
      </c>
      <c r="L52" s="3"/>
    </row>
    <row r="53" spans="2:12">
      <c r="B53" s="8">
        <v>47</v>
      </c>
      <c r="C53" s="16" t="s">
        <v>1988</v>
      </c>
      <c r="D53" s="16" t="s">
        <v>1989</v>
      </c>
      <c r="E53" s="3"/>
      <c r="F53" s="3"/>
      <c r="G53" s="3"/>
      <c r="H53" s="3"/>
      <c r="I53" s="16" t="s">
        <v>1053</v>
      </c>
      <c r="J53" s="16" t="s">
        <v>1054</v>
      </c>
      <c r="K53" s="16" t="s">
        <v>2029</v>
      </c>
      <c r="L53" s="3"/>
    </row>
    <row r="54" spans="2:12">
      <c r="B54" s="8">
        <v>48</v>
      </c>
      <c r="C54" s="16" t="s">
        <v>1990</v>
      </c>
      <c r="D54" s="16" t="s">
        <v>1991</v>
      </c>
      <c r="E54" s="3"/>
      <c r="F54" s="3"/>
      <c r="G54" s="3"/>
      <c r="H54" s="3"/>
      <c r="I54" s="16" t="s">
        <v>1053</v>
      </c>
      <c r="J54" s="16" t="s">
        <v>1054</v>
      </c>
      <c r="K54" s="16" t="s">
        <v>2029</v>
      </c>
      <c r="L54" s="3"/>
    </row>
    <row r="55" spans="2:12">
      <c r="B55" s="8">
        <v>49</v>
      </c>
      <c r="C55" s="16" t="s">
        <v>1992</v>
      </c>
      <c r="D55" s="16" t="s">
        <v>1993</v>
      </c>
      <c r="E55" s="3"/>
      <c r="F55" s="3"/>
      <c r="G55" s="3"/>
      <c r="H55" s="3"/>
      <c r="I55" s="16" t="s">
        <v>1053</v>
      </c>
      <c r="J55" s="16" t="s">
        <v>1054</v>
      </c>
      <c r="K55" s="16" t="s">
        <v>2029</v>
      </c>
      <c r="L55" s="3"/>
    </row>
    <row r="56" spans="2:12">
      <c r="B56" s="8">
        <v>50</v>
      </c>
      <c r="C56" s="16" t="s">
        <v>1994</v>
      </c>
      <c r="D56" s="16" t="s">
        <v>1995</v>
      </c>
      <c r="E56" s="3"/>
      <c r="F56" s="3"/>
      <c r="G56" s="3"/>
      <c r="H56" s="3"/>
      <c r="I56" s="16" t="s">
        <v>1053</v>
      </c>
      <c r="J56" s="16" t="s">
        <v>1054</v>
      </c>
      <c r="K56" s="16" t="s">
        <v>2029</v>
      </c>
      <c r="L56" s="3"/>
    </row>
    <row r="57" spans="2:12">
      <c r="B57" s="8">
        <v>51</v>
      </c>
      <c r="C57" s="16" t="s">
        <v>1996</v>
      </c>
      <c r="D57" s="16" t="s">
        <v>1997</v>
      </c>
      <c r="E57" s="3"/>
      <c r="F57" s="3"/>
      <c r="G57" s="3"/>
      <c r="H57" s="3"/>
      <c r="I57" s="16" t="s">
        <v>1053</v>
      </c>
      <c r="J57" s="16" t="s">
        <v>1054</v>
      </c>
      <c r="K57" s="16" t="s">
        <v>2029</v>
      </c>
      <c r="L57" s="3"/>
    </row>
    <row r="58" spans="2:12">
      <c r="B58" s="8">
        <v>52</v>
      </c>
      <c r="C58" s="16" t="s">
        <v>1998</v>
      </c>
      <c r="D58" s="16" t="s">
        <v>1999</v>
      </c>
      <c r="E58" s="3"/>
      <c r="F58" s="3"/>
      <c r="G58" s="3"/>
      <c r="H58" s="3"/>
      <c r="I58" s="16" t="s">
        <v>1053</v>
      </c>
      <c r="J58" s="16" t="s">
        <v>1054</v>
      </c>
      <c r="K58" s="16" t="s">
        <v>2029</v>
      </c>
      <c r="L58" s="3"/>
    </row>
    <row r="59" spans="2:12">
      <c r="B59" s="8">
        <v>53</v>
      </c>
      <c r="C59" s="16" t="s">
        <v>2000</v>
      </c>
      <c r="D59" s="16" t="s">
        <v>2001</v>
      </c>
      <c r="E59" s="3"/>
      <c r="F59" s="3"/>
      <c r="G59" s="3"/>
      <c r="H59" s="3"/>
      <c r="I59" s="16" t="s">
        <v>1053</v>
      </c>
      <c r="J59" s="16" t="s">
        <v>1054</v>
      </c>
      <c r="K59" s="16" t="s">
        <v>2029</v>
      </c>
      <c r="L59" s="3"/>
    </row>
    <row r="60" spans="2:12">
      <c r="B60" s="8">
        <v>54</v>
      </c>
      <c r="C60" s="20" t="s">
        <v>950</v>
      </c>
      <c r="D60" s="20" t="s">
        <v>28</v>
      </c>
      <c r="E60" s="20" t="s">
        <v>1072</v>
      </c>
      <c r="F60" s="20" t="s">
        <v>1072</v>
      </c>
      <c r="G60" s="20" t="s">
        <v>1072</v>
      </c>
      <c r="H60" s="20" t="s">
        <v>1072</v>
      </c>
      <c r="I60" s="20" t="s">
        <v>951</v>
      </c>
      <c r="J60" s="20"/>
      <c r="K60" s="30" t="s">
        <v>1511</v>
      </c>
      <c r="L60" s="44" t="s">
        <v>1072</v>
      </c>
    </row>
    <row r="61" spans="2:12">
      <c r="B61" s="8">
        <v>55</v>
      </c>
      <c r="C61" s="20" t="s">
        <v>998</v>
      </c>
      <c r="D61" s="20" t="s">
        <v>38</v>
      </c>
      <c r="E61" s="20" t="s">
        <v>1072</v>
      </c>
      <c r="F61" s="20" t="s">
        <v>1072</v>
      </c>
      <c r="G61" s="20" t="s">
        <v>1072</v>
      </c>
      <c r="H61" s="20" t="s">
        <v>1072</v>
      </c>
      <c r="I61" s="20" t="s">
        <v>951</v>
      </c>
      <c r="J61" s="20"/>
      <c r="K61" s="30" t="s">
        <v>1511</v>
      </c>
      <c r="L61" s="44" t="s">
        <v>1072</v>
      </c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1BD8081A-E322-451E-9623-6C586A9840C0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16597-CE2A-40A9-94F4-6466362ABD60}">
  <sheetPr codeName="Sheet45">
    <tabColor rgb="FF92D050"/>
  </sheetPr>
  <dimension ref="A1:M62"/>
  <sheetViews>
    <sheetView workbookViewId="0">
      <selection activeCell="B6" sqref="B6:L7"/>
    </sheetView>
  </sheetViews>
  <sheetFormatPr defaultRowHeight="16.5"/>
  <cols>
    <col min="2" max="2" width="6.875" bestFit="1" customWidth="1"/>
    <col min="3" max="3" width="20.5" bestFit="1" customWidth="1"/>
    <col min="4" max="4" width="28.75" bestFit="1" customWidth="1"/>
    <col min="5" max="5" width="3.75" bestFit="1" customWidth="1"/>
    <col min="6" max="6" width="3.75" customWidth="1"/>
    <col min="7" max="7" width="25.125" bestFit="1" customWidth="1"/>
    <col min="8" max="8" width="10.5" bestFit="1" customWidth="1"/>
    <col min="9" max="9" width="11.625" bestFit="1" customWidth="1"/>
    <col min="10" max="10" width="8.5" bestFit="1" customWidth="1"/>
    <col min="11" max="11" width="46.75" customWidth="1"/>
    <col min="12" max="12" width="34.625" customWidth="1"/>
  </cols>
  <sheetData>
    <row r="1" spans="1:13" ht="20.25">
      <c r="A1" s="4" t="s">
        <v>2030</v>
      </c>
      <c r="B1" s="258" t="s">
        <v>1492</v>
      </c>
      <c r="D1" s="482" t="s">
        <v>1387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1385</v>
      </c>
      <c r="E3" s="495"/>
      <c r="F3" s="495"/>
      <c r="G3" s="496"/>
      <c r="H3" s="495" t="s">
        <v>2031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1373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3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3">
      <c r="A8" s="4"/>
      <c r="B8" s="8">
        <v>3</v>
      </c>
      <c r="C8" s="8" t="s">
        <v>2032</v>
      </c>
      <c r="D8" s="208" t="s">
        <v>2033</v>
      </c>
      <c r="E8" s="202" t="s">
        <v>1262</v>
      </c>
      <c r="F8" s="8"/>
      <c r="G8" s="8"/>
      <c r="H8" s="263" t="s">
        <v>1262</v>
      </c>
      <c r="I8" s="16" t="s">
        <v>947</v>
      </c>
      <c r="J8" s="16">
        <v>6</v>
      </c>
      <c r="K8" s="31"/>
      <c r="L8" s="35"/>
    </row>
    <row r="9" spans="1:13">
      <c r="A9" s="4"/>
      <c r="B9" s="8">
        <v>4</v>
      </c>
      <c r="C9" s="212" t="s">
        <v>1914</v>
      </c>
      <c r="D9" s="215" t="s">
        <v>1039</v>
      </c>
      <c r="E9" s="202" t="s">
        <v>1262</v>
      </c>
      <c r="F9" s="21"/>
      <c r="G9" s="21"/>
      <c r="H9" s="263" t="s">
        <v>1262</v>
      </c>
      <c r="I9" s="116" t="s">
        <v>947</v>
      </c>
      <c r="J9" s="116">
        <v>20</v>
      </c>
      <c r="K9" s="148"/>
      <c r="L9" s="35"/>
    </row>
    <row r="10" spans="1:13">
      <c r="A10" s="4"/>
      <c r="B10" s="8">
        <v>5</v>
      </c>
      <c r="C10" s="184" t="s">
        <v>2034</v>
      </c>
      <c r="D10" s="203" t="s">
        <v>2035</v>
      </c>
      <c r="E10" s="26"/>
      <c r="F10" s="161"/>
      <c r="G10" s="161"/>
      <c r="H10" s="263" t="s">
        <v>1262</v>
      </c>
      <c r="I10" s="116" t="s">
        <v>947</v>
      </c>
      <c r="J10" s="26">
        <v>300</v>
      </c>
      <c r="K10" s="165"/>
      <c r="L10" s="168"/>
    </row>
    <row r="11" spans="1:13">
      <c r="A11" s="354" t="s">
        <v>2036</v>
      </c>
      <c r="B11" s="8">
        <v>6</v>
      </c>
      <c r="C11" s="26" t="s">
        <v>268</v>
      </c>
      <c r="D11" s="26" t="s">
        <v>2037</v>
      </c>
      <c r="E11" s="108"/>
      <c r="F11" s="161"/>
      <c r="G11" s="161"/>
      <c r="H11" s="263" t="s">
        <v>1262</v>
      </c>
      <c r="I11" s="26" t="s">
        <v>947</v>
      </c>
      <c r="J11" s="26">
        <v>30</v>
      </c>
      <c r="K11" s="165"/>
      <c r="L11" s="160"/>
    </row>
    <row r="12" spans="1:13">
      <c r="B12" s="8">
        <v>7</v>
      </c>
      <c r="C12" s="184" t="s">
        <v>1809</v>
      </c>
      <c r="D12" s="161" t="s">
        <v>1770</v>
      </c>
      <c r="E12" s="161"/>
      <c r="F12" s="161"/>
      <c r="G12" s="161"/>
      <c r="H12" s="263" t="s">
        <v>1262</v>
      </c>
      <c r="I12" s="26" t="s">
        <v>947</v>
      </c>
      <c r="J12" s="26">
        <v>20</v>
      </c>
      <c r="K12" s="26"/>
      <c r="L12" s="160"/>
    </row>
    <row r="13" spans="1:13">
      <c r="B13" s="8">
        <v>8</v>
      </c>
      <c r="C13" s="365" t="s">
        <v>1765</v>
      </c>
      <c r="D13" s="411" t="s">
        <v>1801</v>
      </c>
      <c r="E13" s="366"/>
      <c r="F13" s="366"/>
      <c r="G13" s="366"/>
      <c r="H13" s="367" t="s">
        <v>1262</v>
      </c>
      <c r="I13" s="365" t="s">
        <v>947</v>
      </c>
      <c r="J13" s="365">
        <v>20</v>
      </c>
      <c r="K13" s="26"/>
      <c r="L13" s="160"/>
    </row>
    <row r="14" spans="1:13">
      <c r="B14" s="8">
        <v>9</v>
      </c>
      <c r="C14" s="373" t="s">
        <v>1799</v>
      </c>
      <c r="D14" s="364" t="s">
        <v>2038</v>
      </c>
      <c r="E14" s="160"/>
      <c r="F14" s="160"/>
      <c r="G14" s="160"/>
      <c r="H14" s="370"/>
      <c r="I14" s="364" t="s">
        <v>947</v>
      </c>
      <c r="J14" s="364">
        <v>20</v>
      </c>
      <c r="K14" s="286"/>
      <c r="L14" s="160"/>
    </row>
    <row r="15" spans="1:13">
      <c r="B15" s="8">
        <v>10</v>
      </c>
      <c r="C15" s="371" t="s">
        <v>1814</v>
      </c>
      <c r="D15" s="371" t="s">
        <v>1773</v>
      </c>
      <c r="E15" s="160"/>
      <c r="F15" s="160"/>
      <c r="G15" s="160"/>
      <c r="H15" s="370"/>
      <c r="I15" s="364" t="s">
        <v>947</v>
      </c>
      <c r="J15" s="364">
        <v>8</v>
      </c>
      <c r="K15" s="286"/>
      <c r="L15" s="160"/>
    </row>
    <row r="16" spans="1:13">
      <c r="B16" s="8">
        <v>11</v>
      </c>
      <c r="C16" s="371" t="s">
        <v>104</v>
      </c>
      <c r="D16" s="371" t="s">
        <v>1775</v>
      </c>
      <c r="E16" s="160"/>
      <c r="F16" s="160"/>
      <c r="G16" s="160"/>
      <c r="H16" s="370"/>
      <c r="I16" s="364" t="s">
        <v>947</v>
      </c>
      <c r="J16" s="364">
        <v>8</v>
      </c>
      <c r="K16" s="286"/>
      <c r="L16" s="160"/>
    </row>
    <row r="17" spans="2:12">
      <c r="B17" s="8">
        <v>12</v>
      </c>
      <c r="C17" s="372" t="s">
        <v>1816</v>
      </c>
      <c r="D17" s="372" t="s">
        <v>1817</v>
      </c>
      <c r="E17" s="160"/>
      <c r="F17" s="160"/>
      <c r="G17" s="160"/>
      <c r="H17" s="370"/>
      <c r="I17" s="364" t="s">
        <v>947</v>
      </c>
      <c r="J17" s="364">
        <v>1</v>
      </c>
      <c r="K17" s="286"/>
      <c r="L17" s="160"/>
    </row>
    <row r="18" spans="2:12">
      <c r="B18" s="8">
        <v>13</v>
      </c>
      <c r="C18" s="371" t="s">
        <v>1819</v>
      </c>
      <c r="D18" s="371" t="s">
        <v>1820</v>
      </c>
      <c r="E18" s="160"/>
      <c r="F18" s="160"/>
      <c r="G18" s="160"/>
      <c r="H18" s="370"/>
      <c r="I18" s="364" t="s">
        <v>947</v>
      </c>
      <c r="J18" s="364">
        <v>1</v>
      </c>
      <c r="K18" s="286"/>
      <c r="L18" s="160"/>
    </row>
    <row r="19" spans="2:12">
      <c r="B19" s="8">
        <v>14</v>
      </c>
      <c r="C19" s="371" t="s">
        <v>1822</v>
      </c>
      <c r="D19" s="371" t="s">
        <v>1018</v>
      </c>
      <c r="E19" s="160"/>
      <c r="F19" s="160"/>
      <c r="G19" s="160"/>
      <c r="H19" s="370"/>
      <c r="I19" s="364" t="s">
        <v>947</v>
      </c>
      <c r="J19" s="364">
        <v>1</v>
      </c>
      <c r="K19" s="286"/>
      <c r="L19" s="160"/>
    </row>
    <row r="20" spans="2:12">
      <c r="B20" s="8">
        <v>15</v>
      </c>
      <c r="C20" s="371" t="s">
        <v>1777</v>
      </c>
      <c r="D20" s="371" t="s">
        <v>2039</v>
      </c>
      <c r="E20" s="160"/>
      <c r="F20" s="160"/>
      <c r="G20" s="160"/>
      <c r="H20" s="370"/>
      <c r="I20" s="364" t="s">
        <v>947</v>
      </c>
      <c r="J20" s="364">
        <v>20</v>
      </c>
      <c r="K20" s="286"/>
      <c r="L20" s="160"/>
    </row>
    <row r="21" spans="2:12">
      <c r="B21" s="8">
        <v>16</v>
      </c>
      <c r="C21" s="88" t="s">
        <v>1786</v>
      </c>
      <c r="D21" s="368" t="s">
        <v>1787</v>
      </c>
      <c r="E21" s="369"/>
      <c r="F21" s="369"/>
      <c r="G21" s="369"/>
      <c r="H21" s="369"/>
      <c r="I21" s="88" t="s">
        <v>1516</v>
      </c>
      <c r="J21" s="88">
        <v>20</v>
      </c>
      <c r="K21" s="26"/>
      <c r="L21" s="160"/>
    </row>
    <row r="22" spans="2:12">
      <c r="B22" s="8">
        <v>17</v>
      </c>
      <c r="C22" s="26" t="s">
        <v>1788</v>
      </c>
      <c r="D22" s="161" t="s">
        <v>2040</v>
      </c>
      <c r="E22" s="160"/>
      <c r="F22" s="160"/>
      <c r="G22" s="160"/>
      <c r="H22" s="160"/>
      <c r="I22" s="26" t="s">
        <v>1516</v>
      </c>
      <c r="J22" s="26">
        <v>20</v>
      </c>
      <c r="K22" s="26"/>
      <c r="L22" s="160"/>
    </row>
    <row r="23" spans="2:12">
      <c r="B23" s="8">
        <v>18</v>
      </c>
      <c r="C23" s="26" t="s">
        <v>1779</v>
      </c>
      <c r="D23" s="161" t="s">
        <v>1802</v>
      </c>
      <c r="E23" s="160"/>
      <c r="F23" s="160"/>
      <c r="G23" s="160"/>
      <c r="H23" s="160"/>
      <c r="I23" s="26" t="s">
        <v>1516</v>
      </c>
      <c r="J23" s="26">
        <v>20</v>
      </c>
      <c r="K23" s="26"/>
      <c r="L23" s="160"/>
    </row>
    <row r="24" spans="2:12">
      <c r="B24" s="8">
        <v>19</v>
      </c>
      <c r="C24" s="26" t="s">
        <v>1782</v>
      </c>
      <c r="D24" s="161" t="s">
        <v>2041</v>
      </c>
      <c r="E24" s="160"/>
      <c r="F24" s="160"/>
      <c r="G24" s="160"/>
      <c r="H24" s="160"/>
      <c r="I24" s="26" t="s">
        <v>1516</v>
      </c>
      <c r="J24" s="26">
        <v>40</v>
      </c>
      <c r="K24" s="26"/>
      <c r="L24" s="160"/>
    </row>
    <row r="25" spans="2:12">
      <c r="B25" s="8">
        <v>20</v>
      </c>
      <c r="C25" s="26" t="s">
        <v>1784</v>
      </c>
      <c r="D25" s="161" t="s">
        <v>2042</v>
      </c>
      <c r="E25" s="160"/>
      <c r="F25" s="160"/>
      <c r="G25" s="160"/>
      <c r="H25" s="160"/>
      <c r="I25" s="26" t="s">
        <v>1516</v>
      </c>
      <c r="J25" s="26">
        <v>40</v>
      </c>
      <c r="K25" s="26"/>
      <c r="L25" s="160"/>
    </row>
    <row r="26" spans="2:12">
      <c r="B26" s="8">
        <v>21</v>
      </c>
      <c r="C26" s="26" t="s">
        <v>1823</v>
      </c>
      <c r="D26" s="161" t="s">
        <v>2043</v>
      </c>
      <c r="E26" s="160"/>
      <c r="F26" s="160"/>
      <c r="G26" s="160"/>
      <c r="H26" s="160"/>
      <c r="I26" s="26" t="s">
        <v>1516</v>
      </c>
      <c r="J26" s="26">
        <v>1</v>
      </c>
      <c r="K26" s="26"/>
      <c r="L26" s="160"/>
    </row>
    <row r="27" spans="2:12">
      <c r="B27" s="8">
        <v>22</v>
      </c>
      <c r="C27" s="26" t="s">
        <v>2011</v>
      </c>
      <c r="D27" s="26" t="s">
        <v>2044</v>
      </c>
      <c r="E27" s="26"/>
      <c r="F27" s="26"/>
      <c r="G27" s="26"/>
      <c r="H27" s="26"/>
      <c r="I27" s="26" t="s">
        <v>1053</v>
      </c>
      <c r="J27" s="26" t="s">
        <v>1054</v>
      </c>
      <c r="K27" s="26"/>
      <c r="L27" s="160"/>
    </row>
    <row r="28" spans="2:12">
      <c r="B28" s="8">
        <v>23</v>
      </c>
      <c r="C28" s="26" t="s">
        <v>807</v>
      </c>
      <c r="D28" s="26" t="s">
        <v>2045</v>
      </c>
      <c r="E28" s="26"/>
      <c r="F28" s="26"/>
      <c r="G28" s="26"/>
      <c r="H28" s="26"/>
      <c r="I28" s="26" t="s">
        <v>1053</v>
      </c>
      <c r="J28" s="26" t="s">
        <v>1054</v>
      </c>
      <c r="K28" s="26"/>
      <c r="L28" s="160"/>
    </row>
    <row r="29" spans="2:12">
      <c r="B29" s="8">
        <v>24</v>
      </c>
      <c r="C29" s="26" t="s">
        <v>813</v>
      </c>
      <c r="D29" s="211" t="s">
        <v>2046</v>
      </c>
      <c r="E29" s="211"/>
      <c r="F29" s="211"/>
      <c r="G29" s="211"/>
      <c r="H29" s="211"/>
      <c r="I29" s="211" t="s">
        <v>1053</v>
      </c>
      <c r="J29" s="211" t="s">
        <v>1054</v>
      </c>
      <c r="K29" s="211"/>
      <c r="L29" s="214"/>
    </row>
    <row r="30" spans="2:12">
      <c r="B30" s="8">
        <v>25</v>
      </c>
      <c r="C30" s="26" t="s">
        <v>817</v>
      </c>
      <c r="D30" s="16" t="s">
        <v>2047</v>
      </c>
      <c r="E30" s="16"/>
      <c r="F30" s="16"/>
      <c r="G30" s="16"/>
      <c r="H30" s="16"/>
      <c r="I30" s="16" t="s">
        <v>1053</v>
      </c>
      <c r="J30" s="16" t="s">
        <v>1054</v>
      </c>
      <c r="K30" s="16"/>
      <c r="L30" s="210"/>
    </row>
    <row r="31" spans="2:12">
      <c r="B31" s="8">
        <v>26</v>
      </c>
      <c r="C31" s="26" t="s">
        <v>821</v>
      </c>
      <c r="D31" s="16" t="s">
        <v>2048</v>
      </c>
      <c r="E31" s="16"/>
      <c r="F31" s="16"/>
      <c r="G31" s="16"/>
      <c r="H31" s="16"/>
      <c r="I31" s="16" t="s">
        <v>1053</v>
      </c>
      <c r="J31" s="16" t="s">
        <v>1054</v>
      </c>
      <c r="K31" s="16"/>
      <c r="L31" s="210"/>
    </row>
    <row r="32" spans="2:12">
      <c r="B32" s="8">
        <v>27</v>
      </c>
      <c r="C32" s="26" t="s">
        <v>825</v>
      </c>
      <c r="D32" s="16" t="s">
        <v>2049</v>
      </c>
      <c r="E32" s="16"/>
      <c r="F32" s="16"/>
      <c r="G32" s="16"/>
      <c r="H32" s="16"/>
      <c r="I32" s="16" t="s">
        <v>1053</v>
      </c>
      <c r="J32" s="16" t="s">
        <v>1054</v>
      </c>
      <c r="K32" s="16"/>
      <c r="L32" s="210"/>
    </row>
    <row r="33" spans="2:12">
      <c r="B33" s="8">
        <v>28</v>
      </c>
      <c r="C33" s="26" t="s">
        <v>827</v>
      </c>
      <c r="D33" s="16" t="s">
        <v>2050</v>
      </c>
      <c r="E33" s="16"/>
      <c r="F33" s="16"/>
      <c r="G33" s="16"/>
      <c r="H33" s="16"/>
      <c r="I33" s="16" t="s">
        <v>1053</v>
      </c>
      <c r="J33" s="16" t="s">
        <v>1054</v>
      </c>
      <c r="K33" s="16"/>
      <c r="L33" s="210"/>
    </row>
    <row r="34" spans="2:12">
      <c r="B34" s="8">
        <v>29</v>
      </c>
      <c r="C34" s="26" t="s">
        <v>829</v>
      </c>
      <c r="D34" s="16" t="s">
        <v>2051</v>
      </c>
      <c r="E34" s="16"/>
      <c r="F34" s="16"/>
      <c r="G34" s="16"/>
      <c r="H34" s="16"/>
      <c r="I34" s="16" t="s">
        <v>1053</v>
      </c>
      <c r="J34" s="16" t="s">
        <v>1054</v>
      </c>
      <c r="K34" s="16"/>
      <c r="L34" s="210"/>
    </row>
    <row r="35" spans="2:12">
      <c r="B35" s="8">
        <v>30</v>
      </c>
      <c r="C35" s="26" t="s">
        <v>831</v>
      </c>
      <c r="D35" s="16" t="s">
        <v>2052</v>
      </c>
      <c r="E35" s="16"/>
      <c r="F35" s="16"/>
      <c r="G35" s="16"/>
      <c r="H35" s="16"/>
      <c r="I35" s="16" t="s">
        <v>1053</v>
      </c>
      <c r="J35" s="16" t="s">
        <v>1054</v>
      </c>
      <c r="K35" s="16"/>
      <c r="L35" s="3"/>
    </row>
    <row r="36" spans="2:12">
      <c r="B36" s="8">
        <v>31</v>
      </c>
      <c r="C36" s="26" t="s">
        <v>833</v>
      </c>
      <c r="D36" s="16" t="s">
        <v>2053</v>
      </c>
      <c r="E36" s="16"/>
      <c r="F36" s="16"/>
      <c r="G36" s="16"/>
      <c r="H36" s="16"/>
      <c r="I36" s="16" t="s">
        <v>1053</v>
      </c>
      <c r="J36" s="16" t="s">
        <v>1054</v>
      </c>
      <c r="K36" s="16"/>
      <c r="L36" s="3"/>
    </row>
    <row r="37" spans="2:12">
      <c r="B37" s="8">
        <v>32</v>
      </c>
      <c r="C37" s="26" t="s">
        <v>835</v>
      </c>
      <c r="D37" s="16" t="s">
        <v>2054</v>
      </c>
      <c r="E37" s="16"/>
      <c r="F37" s="16"/>
      <c r="G37" s="16"/>
      <c r="H37" s="16"/>
      <c r="I37" s="16" t="s">
        <v>1053</v>
      </c>
      <c r="J37" s="16" t="s">
        <v>1054</v>
      </c>
      <c r="K37" s="16"/>
      <c r="L37" s="3"/>
    </row>
    <row r="38" spans="2:12">
      <c r="B38" s="8">
        <v>33</v>
      </c>
      <c r="C38" s="26" t="s">
        <v>837</v>
      </c>
      <c r="D38" s="16" t="s">
        <v>2055</v>
      </c>
      <c r="E38" s="16"/>
      <c r="F38" s="16"/>
      <c r="G38" s="16"/>
      <c r="H38" s="16"/>
      <c r="I38" s="16" t="s">
        <v>1053</v>
      </c>
      <c r="J38" s="16" t="s">
        <v>1054</v>
      </c>
      <c r="K38" s="16"/>
      <c r="L38" s="3"/>
    </row>
    <row r="39" spans="2:12">
      <c r="B39" s="8">
        <v>34</v>
      </c>
      <c r="C39" s="26" t="s">
        <v>2026</v>
      </c>
      <c r="D39" s="26" t="s">
        <v>1955</v>
      </c>
      <c r="E39" s="26"/>
      <c r="F39" s="26"/>
      <c r="G39" s="26"/>
      <c r="H39" s="26"/>
      <c r="I39" s="26" t="s">
        <v>1053</v>
      </c>
      <c r="J39" s="26" t="s">
        <v>1054</v>
      </c>
      <c r="K39" s="26"/>
      <c r="L39" s="160"/>
    </row>
    <row r="40" spans="2:12">
      <c r="B40" s="8">
        <v>35</v>
      </c>
      <c r="C40" s="26" t="s">
        <v>841</v>
      </c>
      <c r="D40" s="26" t="s">
        <v>1956</v>
      </c>
      <c r="E40" s="26"/>
      <c r="F40" s="26"/>
      <c r="G40" s="26"/>
      <c r="H40" s="26"/>
      <c r="I40" s="26" t="s">
        <v>1053</v>
      </c>
      <c r="J40" s="26" t="s">
        <v>1054</v>
      </c>
      <c r="K40" s="26"/>
      <c r="L40" s="160"/>
    </row>
    <row r="41" spans="2:12">
      <c r="B41" s="8">
        <v>36</v>
      </c>
      <c r="C41" s="211" t="s">
        <v>843</v>
      </c>
      <c r="D41" s="211" t="s">
        <v>1957</v>
      </c>
      <c r="E41" s="211"/>
      <c r="F41" s="211"/>
      <c r="G41" s="211"/>
      <c r="H41" s="211"/>
      <c r="I41" s="211" t="s">
        <v>1053</v>
      </c>
      <c r="J41" s="211" t="s">
        <v>1054</v>
      </c>
      <c r="K41" s="211"/>
      <c r="L41" s="214"/>
    </row>
    <row r="42" spans="2:12">
      <c r="B42" s="8">
        <v>37</v>
      </c>
      <c r="C42" s="16" t="s">
        <v>845</v>
      </c>
      <c r="D42" s="16" t="s">
        <v>1958</v>
      </c>
      <c r="E42" s="16"/>
      <c r="F42" s="16"/>
      <c r="G42" s="16"/>
      <c r="H42" s="16"/>
      <c r="I42" s="16" t="s">
        <v>1053</v>
      </c>
      <c r="J42" s="16" t="s">
        <v>1054</v>
      </c>
      <c r="K42" s="16"/>
      <c r="L42" s="210"/>
    </row>
    <row r="43" spans="2:12">
      <c r="B43" s="8">
        <v>38</v>
      </c>
      <c r="C43" s="16" t="s">
        <v>847</v>
      </c>
      <c r="D43" s="16" t="s">
        <v>1959</v>
      </c>
      <c r="E43" s="16"/>
      <c r="F43" s="16"/>
      <c r="G43" s="16"/>
      <c r="H43" s="16"/>
      <c r="I43" s="16" t="s">
        <v>1053</v>
      </c>
      <c r="J43" s="16" t="s">
        <v>1054</v>
      </c>
      <c r="K43" s="16"/>
      <c r="L43" s="210"/>
    </row>
    <row r="44" spans="2:12">
      <c r="B44" s="8">
        <v>39</v>
      </c>
      <c r="C44" s="16" t="s">
        <v>849</v>
      </c>
      <c r="D44" s="16" t="s">
        <v>1960</v>
      </c>
      <c r="E44" s="16"/>
      <c r="F44" s="16"/>
      <c r="G44" s="16"/>
      <c r="H44" s="16"/>
      <c r="I44" s="16" t="s">
        <v>1053</v>
      </c>
      <c r="J44" s="16" t="s">
        <v>1054</v>
      </c>
      <c r="K44" s="16"/>
      <c r="L44" s="210"/>
    </row>
    <row r="45" spans="2:12">
      <c r="B45" s="8">
        <v>40</v>
      </c>
      <c r="C45" s="16" t="s">
        <v>851</v>
      </c>
      <c r="D45" s="16" t="s">
        <v>1961</v>
      </c>
      <c r="E45" s="16"/>
      <c r="F45" s="16"/>
      <c r="G45" s="16"/>
      <c r="H45" s="16"/>
      <c r="I45" s="16" t="s">
        <v>1053</v>
      </c>
      <c r="J45" s="16" t="s">
        <v>1054</v>
      </c>
      <c r="K45" s="16"/>
      <c r="L45" s="210"/>
    </row>
    <row r="46" spans="2:12">
      <c r="B46" s="8">
        <v>41</v>
      </c>
      <c r="C46" s="16" t="s">
        <v>853</v>
      </c>
      <c r="D46" s="16" t="s">
        <v>1962</v>
      </c>
      <c r="E46" s="16"/>
      <c r="F46" s="16"/>
      <c r="G46" s="16"/>
      <c r="H46" s="16"/>
      <c r="I46" s="16" t="s">
        <v>1053</v>
      </c>
      <c r="J46" s="16" t="s">
        <v>1054</v>
      </c>
      <c r="K46" s="16"/>
      <c r="L46" s="210"/>
    </row>
    <row r="47" spans="2:12">
      <c r="B47" s="8">
        <v>42</v>
      </c>
      <c r="C47" s="16" t="s">
        <v>855</v>
      </c>
      <c r="D47" s="16" t="s">
        <v>1052</v>
      </c>
      <c r="E47" s="16"/>
      <c r="F47" s="16"/>
      <c r="G47" s="16"/>
      <c r="H47" s="16"/>
      <c r="I47" s="16" t="s">
        <v>1053</v>
      </c>
      <c r="J47" s="16" t="s">
        <v>1054</v>
      </c>
      <c r="K47" s="16"/>
      <c r="L47" s="3"/>
    </row>
    <row r="48" spans="2:12">
      <c r="B48" s="8">
        <v>43</v>
      </c>
      <c r="C48" s="16" t="s">
        <v>857</v>
      </c>
      <c r="D48" s="16" t="s">
        <v>1963</v>
      </c>
      <c r="E48" s="16"/>
      <c r="F48" s="16"/>
      <c r="G48" s="16"/>
      <c r="H48" s="16"/>
      <c r="I48" s="16" t="s">
        <v>1053</v>
      </c>
      <c r="J48" s="16" t="s">
        <v>1054</v>
      </c>
      <c r="K48" s="16"/>
      <c r="L48" s="3"/>
    </row>
    <row r="49" spans="2:12">
      <c r="B49" s="8">
        <v>44</v>
      </c>
      <c r="C49" s="16" t="s">
        <v>859</v>
      </c>
      <c r="D49" s="16" t="s">
        <v>1964</v>
      </c>
      <c r="E49" s="16"/>
      <c r="F49" s="16"/>
      <c r="G49" s="16"/>
      <c r="H49" s="16"/>
      <c r="I49" s="16" t="s">
        <v>1053</v>
      </c>
      <c r="J49" s="16" t="s">
        <v>1054</v>
      </c>
      <c r="K49" s="16"/>
      <c r="L49" s="3"/>
    </row>
    <row r="50" spans="2:12">
      <c r="B50" s="8">
        <v>45</v>
      </c>
      <c r="C50" s="16" t="s">
        <v>861</v>
      </c>
      <c r="D50" s="16" t="s">
        <v>1965</v>
      </c>
      <c r="E50" s="16"/>
      <c r="F50" s="16"/>
      <c r="G50" s="16"/>
      <c r="H50" s="16"/>
      <c r="I50" s="16" t="s">
        <v>1053</v>
      </c>
      <c r="J50" s="16" t="s">
        <v>1054</v>
      </c>
      <c r="K50" s="16"/>
      <c r="L50" s="3"/>
    </row>
    <row r="51" spans="2:12">
      <c r="B51" s="8">
        <v>46</v>
      </c>
      <c r="C51" s="16" t="s">
        <v>863</v>
      </c>
      <c r="D51" s="16" t="s">
        <v>1966</v>
      </c>
      <c r="E51" s="3"/>
      <c r="F51" s="3"/>
      <c r="G51" s="3"/>
      <c r="H51" s="3"/>
      <c r="I51" s="16" t="s">
        <v>1053</v>
      </c>
      <c r="J51" s="16" t="s">
        <v>1054</v>
      </c>
      <c r="K51" s="16" t="s">
        <v>1094</v>
      </c>
      <c r="L51" s="3"/>
    </row>
    <row r="52" spans="2:12">
      <c r="B52" s="8">
        <v>47</v>
      </c>
      <c r="C52" s="16" t="s">
        <v>865</v>
      </c>
      <c r="D52" s="16" t="s">
        <v>1967</v>
      </c>
      <c r="E52" s="3"/>
      <c r="F52" s="3"/>
      <c r="G52" s="3"/>
      <c r="H52" s="3"/>
      <c r="I52" s="16" t="s">
        <v>1053</v>
      </c>
      <c r="J52" s="16" t="s">
        <v>1054</v>
      </c>
      <c r="K52" s="16" t="s">
        <v>1094</v>
      </c>
      <c r="L52" s="3"/>
    </row>
    <row r="53" spans="2:12">
      <c r="B53" s="8">
        <v>48</v>
      </c>
      <c r="C53" s="16" t="s">
        <v>867</v>
      </c>
      <c r="D53" s="16" t="s">
        <v>1968</v>
      </c>
      <c r="E53" s="3"/>
      <c r="F53" s="3"/>
      <c r="G53" s="3"/>
      <c r="H53" s="3"/>
      <c r="I53" s="16" t="s">
        <v>1053</v>
      </c>
      <c r="J53" s="16" t="s">
        <v>1054</v>
      </c>
      <c r="K53" s="16" t="s">
        <v>1094</v>
      </c>
      <c r="L53" s="3"/>
    </row>
    <row r="54" spans="2:12">
      <c r="B54" s="8">
        <v>49</v>
      </c>
      <c r="C54" s="16" t="s">
        <v>869</v>
      </c>
      <c r="D54" s="16" t="s">
        <v>1969</v>
      </c>
      <c r="E54" s="3"/>
      <c r="F54" s="3"/>
      <c r="G54" s="3"/>
      <c r="H54" s="3"/>
      <c r="I54" s="16" t="s">
        <v>1053</v>
      </c>
      <c r="J54" s="16" t="s">
        <v>1054</v>
      </c>
      <c r="K54" s="16" t="s">
        <v>1094</v>
      </c>
      <c r="L54" s="3"/>
    </row>
    <row r="55" spans="2:12">
      <c r="B55" s="8">
        <v>50</v>
      </c>
      <c r="C55" s="16" t="s">
        <v>871</v>
      </c>
      <c r="D55" s="16" t="s">
        <v>1970</v>
      </c>
      <c r="E55" s="16"/>
      <c r="F55" s="16"/>
      <c r="G55" s="16"/>
      <c r="H55" s="16"/>
      <c r="I55" s="16" t="s">
        <v>1053</v>
      </c>
      <c r="J55" s="16" t="s">
        <v>1054</v>
      </c>
      <c r="K55" s="16" t="s">
        <v>1094</v>
      </c>
      <c r="L55" s="3"/>
    </row>
    <row r="56" spans="2:12">
      <c r="B56" s="8">
        <v>51</v>
      </c>
      <c r="C56" s="16" t="s">
        <v>873</v>
      </c>
      <c r="D56" s="16" t="s">
        <v>1971</v>
      </c>
      <c r="E56" s="16"/>
      <c r="F56" s="16"/>
      <c r="G56" s="16"/>
      <c r="H56" s="16"/>
      <c r="I56" s="16" t="s">
        <v>1053</v>
      </c>
      <c r="J56" s="16" t="s">
        <v>1054</v>
      </c>
      <c r="K56" s="16" t="s">
        <v>1094</v>
      </c>
      <c r="L56" s="3"/>
    </row>
    <row r="57" spans="2:12">
      <c r="B57" s="8">
        <v>52</v>
      </c>
      <c r="C57" s="16" t="s">
        <v>875</v>
      </c>
      <c r="D57" s="16" t="s">
        <v>1972</v>
      </c>
      <c r="E57" s="16"/>
      <c r="F57" s="16"/>
      <c r="G57" s="16"/>
      <c r="H57" s="16"/>
      <c r="I57" s="16" t="s">
        <v>1053</v>
      </c>
      <c r="J57" s="16" t="s">
        <v>1054</v>
      </c>
      <c r="K57" s="16" t="s">
        <v>1094</v>
      </c>
      <c r="L57" s="3"/>
    </row>
    <row r="58" spans="2:12">
      <c r="B58" s="8">
        <v>53</v>
      </c>
      <c r="C58" s="16" t="s">
        <v>877</v>
      </c>
      <c r="D58" s="16" t="s">
        <v>1973</v>
      </c>
      <c r="E58" s="16"/>
      <c r="F58" s="16"/>
      <c r="G58" s="16"/>
      <c r="H58" s="16"/>
      <c r="I58" s="16" t="s">
        <v>1053</v>
      </c>
      <c r="J58" s="16" t="s">
        <v>1054</v>
      </c>
      <c r="K58" s="16" t="s">
        <v>1094</v>
      </c>
      <c r="L58" s="3"/>
    </row>
    <row r="59" spans="2:12">
      <c r="B59" s="8">
        <v>54</v>
      </c>
      <c r="C59" s="16" t="s">
        <v>879</v>
      </c>
      <c r="D59" s="16" t="s">
        <v>1974</v>
      </c>
      <c r="E59" s="16"/>
      <c r="F59" s="16"/>
      <c r="G59" s="16"/>
      <c r="H59" s="16"/>
      <c r="I59" s="16" t="s">
        <v>1053</v>
      </c>
      <c r="J59" s="16" t="s">
        <v>1054</v>
      </c>
      <c r="K59" s="16" t="s">
        <v>1094</v>
      </c>
      <c r="L59" s="3"/>
    </row>
    <row r="60" spans="2:12">
      <c r="B60" s="8">
        <v>55</v>
      </c>
      <c r="C60" s="16" t="s">
        <v>881</v>
      </c>
      <c r="D60" s="16" t="s">
        <v>1975</v>
      </c>
      <c r="E60" s="16"/>
      <c r="F60" s="16"/>
      <c r="G60" s="16"/>
      <c r="H60" s="16"/>
      <c r="I60" s="16" t="s">
        <v>1053</v>
      </c>
      <c r="J60" s="16" t="s">
        <v>1054</v>
      </c>
      <c r="K60" s="16" t="s">
        <v>1094</v>
      </c>
      <c r="L60" s="3"/>
    </row>
    <row r="61" spans="2:12">
      <c r="B61" s="8">
        <v>56</v>
      </c>
      <c r="C61" s="16" t="s">
        <v>883</v>
      </c>
      <c r="D61" s="16" t="s">
        <v>1976</v>
      </c>
      <c r="E61" s="16"/>
      <c r="F61" s="16"/>
      <c r="G61" s="16"/>
      <c r="H61" s="16"/>
      <c r="I61" s="16" t="s">
        <v>1053</v>
      </c>
      <c r="J61" s="16" t="s">
        <v>1054</v>
      </c>
      <c r="K61" s="16" t="s">
        <v>1094</v>
      </c>
      <c r="L61" s="3"/>
    </row>
    <row r="62" spans="2:12">
      <c r="B62" s="8">
        <v>57</v>
      </c>
      <c r="C62" s="16" t="s">
        <v>885</v>
      </c>
      <c r="D62" s="16" t="s">
        <v>1977</v>
      </c>
      <c r="E62" s="16"/>
      <c r="F62" s="16"/>
      <c r="G62" s="16"/>
      <c r="H62" s="16"/>
      <c r="I62" s="16" t="s">
        <v>1053</v>
      </c>
      <c r="J62" s="16" t="s">
        <v>1054</v>
      </c>
      <c r="K62" s="16" t="s">
        <v>1094</v>
      </c>
      <c r="L62" s="3"/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FA971AF7-B0BC-4CBB-A80C-8954F2E32CE4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F8D38-18DC-4E73-9D3A-E2F7C95C8254}">
  <sheetPr codeName="Sheet34">
    <tabColor rgb="FF92D050"/>
  </sheetPr>
  <dimension ref="A1:O152"/>
  <sheetViews>
    <sheetView workbookViewId="0">
      <selection activeCell="L7" sqref="L7"/>
    </sheetView>
  </sheetViews>
  <sheetFormatPr defaultRowHeight="16.5"/>
  <cols>
    <col min="2" max="2" width="6.875" bestFit="1" customWidth="1"/>
    <col min="3" max="3" width="22.5" style="40" bestFit="1" customWidth="1"/>
    <col min="4" max="4" width="24.875" style="40" bestFit="1" customWidth="1"/>
    <col min="5" max="5" width="3.75" style="40" bestFit="1" customWidth="1"/>
    <col min="6" max="6" width="3.5" style="40" bestFit="1" customWidth="1"/>
    <col min="7" max="7" width="23.625" style="40" bestFit="1" customWidth="1"/>
    <col min="8" max="8" width="8.75" style="40" bestFit="1" customWidth="1"/>
    <col min="9" max="9" width="10.875" style="40" bestFit="1" customWidth="1"/>
    <col min="10" max="10" width="7.375" style="40" bestFit="1" customWidth="1"/>
    <col min="11" max="11" width="58.5" style="40" bestFit="1" customWidth="1"/>
    <col min="12" max="12" width="42.75" style="40" bestFit="1" customWidth="1"/>
    <col min="13" max="13" width="36" bestFit="1" customWidth="1"/>
  </cols>
  <sheetData>
    <row r="1" spans="1:13" ht="20.25">
      <c r="A1" s="4"/>
      <c r="B1" s="258" t="s">
        <v>1492</v>
      </c>
      <c r="D1" s="482" t="s">
        <v>1393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181"/>
      <c r="D2" s="181"/>
      <c r="E2" s="181"/>
      <c r="F2" s="181"/>
      <c r="G2" s="181"/>
      <c r="H2" s="181"/>
      <c r="I2" s="181"/>
      <c r="J2" s="181"/>
      <c r="K2" s="181"/>
      <c r="L2" s="182"/>
    </row>
    <row r="3" spans="1:13">
      <c r="A3" s="4"/>
      <c r="B3" s="502" t="s">
        <v>1493</v>
      </c>
      <c r="C3" s="502"/>
      <c r="D3" s="502" t="s">
        <v>1391</v>
      </c>
      <c r="E3" s="502"/>
      <c r="F3" s="502"/>
      <c r="G3" s="502"/>
      <c r="H3" s="502" t="s">
        <v>2056</v>
      </c>
      <c r="I3" s="502"/>
      <c r="J3" s="502"/>
      <c r="K3" s="161"/>
      <c r="L3" s="161"/>
    </row>
    <row r="4" spans="1:13">
      <c r="A4" s="4"/>
      <c r="B4" s="502" t="s">
        <v>1231</v>
      </c>
      <c r="C4" s="502"/>
      <c r="D4" s="501" t="s">
        <v>1373</v>
      </c>
      <c r="E4" s="501"/>
      <c r="F4" s="501"/>
      <c r="G4" s="501"/>
      <c r="H4" s="501"/>
      <c r="I4" s="501"/>
      <c r="J4" s="501"/>
      <c r="K4" s="161"/>
      <c r="L4" s="161"/>
    </row>
    <row r="5" spans="1:13">
      <c r="A5" s="4"/>
      <c r="B5" s="175" t="s">
        <v>1494</v>
      </c>
      <c r="C5" s="175" t="s">
        <v>14</v>
      </c>
      <c r="D5" s="175" t="s">
        <v>15</v>
      </c>
      <c r="E5" s="175" t="s">
        <v>928</v>
      </c>
      <c r="F5" s="175" t="s">
        <v>929</v>
      </c>
      <c r="G5" s="175" t="s">
        <v>930</v>
      </c>
      <c r="H5" s="175" t="s">
        <v>931</v>
      </c>
      <c r="I5" s="175" t="s">
        <v>932</v>
      </c>
      <c r="J5" s="175" t="s">
        <v>933</v>
      </c>
      <c r="K5" s="175" t="s">
        <v>934</v>
      </c>
      <c r="L5" s="175" t="s">
        <v>935</v>
      </c>
    </row>
    <row r="6" spans="1:13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3">
      <c r="A8" s="4"/>
      <c r="B8" s="8">
        <v>3</v>
      </c>
      <c r="C8" s="161" t="s">
        <v>2057</v>
      </c>
      <c r="D8" s="178" t="s">
        <v>2058</v>
      </c>
      <c r="E8" s="357" t="s">
        <v>1065</v>
      </c>
      <c r="F8" s="161"/>
      <c r="G8" s="161"/>
      <c r="H8" s="312" t="s">
        <v>1262</v>
      </c>
      <c r="I8" s="26" t="s">
        <v>947</v>
      </c>
      <c r="J8" s="26">
        <v>18</v>
      </c>
      <c r="K8" s="165" t="s">
        <v>2059</v>
      </c>
      <c r="L8" s="168" t="s">
        <v>2060</v>
      </c>
      <c r="M8" t="s">
        <v>2061</v>
      </c>
    </row>
    <row r="9" spans="1:13">
      <c r="A9" s="4"/>
      <c r="B9" s="8">
        <v>4</v>
      </c>
      <c r="C9" s="184" t="s">
        <v>46</v>
      </c>
      <c r="D9" s="161" t="s">
        <v>1761</v>
      </c>
      <c r="E9" s="26"/>
      <c r="F9" s="161"/>
      <c r="G9" s="161"/>
      <c r="H9" s="26"/>
      <c r="I9" s="26" t="s">
        <v>947</v>
      </c>
      <c r="J9" s="26">
        <v>13</v>
      </c>
      <c r="K9" s="165" t="s">
        <v>2062</v>
      </c>
      <c r="L9" s="168" t="s">
        <v>2063</v>
      </c>
      <c r="M9" t="s">
        <v>2064</v>
      </c>
    </row>
    <row r="10" spans="1:13">
      <c r="A10" s="4"/>
      <c r="B10" s="8">
        <v>5</v>
      </c>
      <c r="C10" s="161" t="s">
        <v>108</v>
      </c>
      <c r="D10" s="13" t="s">
        <v>2065</v>
      </c>
      <c r="E10" s="26"/>
      <c r="F10" s="161"/>
      <c r="G10" s="161"/>
      <c r="H10" s="312" t="s">
        <v>1262</v>
      </c>
      <c r="I10" s="26" t="s">
        <v>1027</v>
      </c>
      <c r="J10" s="26"/>
      <c r="K10" s="165" t="s">
        <v>2066</v>
      </c>
      <c r="L10" s="168" t="s">
        <v>2067</v>
      </c>
    </row>
    <row r="11" spans="1:13">
      <c r="A11" s="4"/>
      <c r="B11" s="8">
        <v>6</v>
      </c>
      <c r="C11" s="161" t="s">
        <v>104</v>
      </c>
      <c r="D11" s="14" t="s">
        <v>2068</v>
      </c>
      <c r="E11" s="26"/>
      <c r="F11" s="26"/>
      <c r="G11" s="161"/>
      <c r="H11" s="312" t="s">
        <v>1262</v>
      </c>
      <c r="I11" s="26" t="s">
        <v>1027</v>
      </c>
      <c r="J11" s="26"/>
      <c r="K11" s="165" t="s">
        <v>2066</v>
      </c>
      <c r="L11" s="168" t="s">
        <v>2067</v>
      </c>
    </row>
    <row r="12" spans="1:13">
      <c r="A12" s="4"/>
      <c r="B12" s="8">
        <v>7</v>
      </c>
      <c r="C12" s="161" t="s">
        <v>2069</v>
      </c>
      <c r="D12" s="161" t="s">
        <v>280</v>
      </c>
      <c r="E12" s="26"/>
      <c r="F12" s="26"/>
      <c r="G12" s="161"/>
      <c r="H12" s="312" t="s">
        <v>1262</v>
      </c>
      <c r="I12" s="26" t="s">
        <v>947</v>
      </c>
      <c r="J12" s="26">
        <v>20</v>
      </c>
      <c r="K12" s="168"/>
      <c r="L12" s="168" t="s">
        <v>2070</v>
      </c>
    </row>
    <row r="13" spans="1:13" ht="33">
      <c r="A13" s="4"/>
      <c r="B13" s="8">
        <v>8</v>
      </c>
      <c r="C13" s="227" t="s">
        <v>2071</v>
      </c>
      <c r="D13" s="227" t="s">
        <v>2072</v>
      </c>
      <c r="E13" s="227"/>
      <c r="F13" s="227"/>
      <c r="G13" s="227"/>
      <c r="H13" s="312" t="s">
        <v>1262</v>
      </c>
      <c r="I13" s="228" t="s">
        <v>1053</v>
      </c>
      <c r="J13" s="228" t="s">
        <v>2073</v>
      </c>
      <c r="K13" s="229" t="s">
        <v>2074</v>
      </c>
      <c r="L13" s="230">
        <v>25</v>
      </c>
      <c r="M13" s="113" t="s">
        <v>2075</v>
      </c>
    </row>
    <row r="14" spans="1:13">
      <c r="A14" s="4"/>
      <c r="B14" s="8">
        <v>9</v>
      </c>
      <c r="C14" s="184" t="s">
        <v>270</v>
      </c>
      <c r="D14" s="13" t="s">
        <v>745</v>
      </c>
      <c r="E14" s="203" t="s">
        <v>1065</v>
      </c>
      <c r="F14" s="161"/>
      <c r="G14" s="161"/>
      <c r="H14" s="312" t="s">
        <v>1262</v>
      </c>
      <c r="I14" s="26" t="s">
        <v>947</v>
      </c>
      <c r="J14" s="26">
        <v>4</v>
      </c>
      <c r="K14" s="165" t="s">
        <v>2076</v>
      </c>
      <c r="L14" s="179" t="s">
        <v>2077</v>
      </c>
    </row>
    <row r="15" spans="1:13">
      <c r="A15" s="4"/>
      <c r="B15" s="8">
        <v>10</v>
      </c>
      <c r="C15" s="184" t="s">
        <v>2078</v>
      </c>
      <c r="D15" s="161" t="s">
        <v>2079</v>
      </c>
      <c r="E15" s="161"/>
      <c r="F15" s="161"/>
      <c r="G15" s="161"/>
      <c r="H15" s="312" t="s">
        <v>1262</v>
      </c>
      <c r="I15" s="26" t="s">
        <v>947</v>
      </c>
      <c r="J15" s="26">
        <v>18</v>
      </c>
      <c r="K15" s="165" t="s">
        <v>2059</v>
      </c>
      <c r="L15" s="180" t="s">
        <v>2080</v>
      </c>
    </row>
    <row r="16" spans="1:13">
      <c r="A16" s="4"/>
      <c r="B16" s="8">
        <v>11</v>
      </c>
      <c r="C16" s="184" t="s">
        <v>268</v>
      </c>
      <c r="D16" s="161" t="s">
        <v>269</v>
      </c>
      <c r="E16" s="161"/>
      <c r="F16" s="161"/>
      <c r="G16" s="161"/>
      <c r="H16" s="161"/>
      <c r="I16" s="26" t="s">
        <v>947</v>
      </c>
      <c r="J16" s="26">
        <v>8</v>
      </c>
      <c r="K16" s="165" t="s">
        <v>2081</v>
      </c>
      <c r="L16" s="216" t="s">
        <v>2082</v>
      </c>
    </row>
    <row r="17" spans="1:15">
      <c r="A17" s="4"/>
      <c r="B17" s="8">
        <v>12</v>
      </c>
      <c r="C17" s="184" t="s">
        <v>1850</v>
      </c>
      <c r="D17" s="161" t="s">
        <v>1851</v>
      </c>
      <c r="E17" s="161"/>
      <c r="F17" s="161"/>
      <c r="G17" s="161"/>
      <c r="H17" s="161"/>
      <c r="I17" s="161" t="s">
        <v>947</v>
      </c>
      <c r="J17" s="161">
        <v>120</v>
      </c>
      <c r="K17" s="165"/>
      <c r="L17" s="180" t="s">
        <v>1852</v>
      </c>
    </row>
    <row r="18" spans="1:15">
      <c r="B18" s="8">
        <v>13</v>
      </c>
      <c r="C18" s="26" t="s">
        <v>1853</v>
      </c>
      <c r="D18" s="161" t="s">
        <v>2083</v>
      </c>
      <c r="E18" s="26"/>
      <c r="F18" s="26"/>
      <c r="G18" s="161"/>
      <c r="H18" s="312" t="s">
        <v>1262</v>
      </c>
      <c r="I18" s="161" t="s">
        <v>947</v>
      </c>
      <c r="J18" s="161">
        <v>20</v>
      </c>
      <c r="K18" s="26"/>
      <c r="L18" s="26" t="s">
        <v>2084</v>
      </c>
      <c r="O18" t="s">
        <v>1954</v>
      </c>
    </row>
    <row r="19" spans="1:15">
      <c r="B19" s="8">
        <v>14</v>
      </c>
      <c r="C19" s="26" t="s">
        <v>1769</v>
      </c>
      <c r="D19" s="26" t="s">
        <v>1810</v>
      </c>
      <c r="E19" s="26"/>
      <c r="F19" s="26"/>
      <c r="G19" s="26" t="s">
        <v>2085</v>
      </c>
      <c r="H19" s="312" t="s">
        <v>1262</v>
      </c>
      <c r="I19" s="26" t="s">
        <v>947</v>
      </c>
      <c r="J19" s="26">
        <v>10</v>
      </c>
      <c r="K19" s="26" t="s">
        <v>2086</v>
      </c>
      <c r="L19" s="26" t="s">
        <v>2087</v>
      </c>
    </row>
    <row r="20" spans="1:15">
      <c r="B20" s="8">
        <v>15</v>
      </c>
      <c r="C20" s="365" t="s">
        <v>2088</v>
      </c>
      <c r="D20" s="365" t="s">
        <v>2089</v>
      </c>
      <c r="E20" s="365"/>
      <c r="F20" s="365"/>
      <c r="G20" s="365" t="s">
        <v>2090</v>
      </c>
      <c r="H20" s="381" t="s">
        <v>1262</v>
      </c>
      <c r="I20" s="365" t="s">
        <v>947</v>
      </c>
      <c r="J20" s="365">
        <v>100</v>
      </c>
      <c r="K20" s="365"/>
      <c r="L20" s="365" t="s">
        <v>2091</v>
      </c>
    </row>
    <row r="21" spans="1:15">
      <c r="B21" s="8">
        <v>16</v>
      </c>
      <c r="C21" s="203" t="s">
        <v>2092</v>
      </c>
      <c r="D21" s="203" t="s">
        <v>2093</v>
      </c>
      <c r="E21" s="26"/>
      <c r="F21" s="26"/>
      <c r="G21" s="26"/>
      <c r="H21" s="26"/>
      <c r="I21" s="26" t="s">
        <v>947</v>
      </c>
      <c r="J21" s="26">
        <v>30</v>
      </c>
      <c r="K21" s="26" t="s">
        <v>2094</v>
      </c>
      <c r="L21" s="26"/>
    </row>
    <row r="22" spans="1:15">
      <c r="B22" s="8">
        <v>17</v>
      </c>
      <c r="C22" s="383" t="s">
        <v>1877</v>
      </c>
      <c r="D22" s="383" t="s">
        <v>2095</v>
      </c>
      <c r="E22" s="88"/>
      <c r="F22" s="88"/>
      <c r="G22" s="88"/>
      <c r="H22" s="382" t="s">
        <v>1262</v>
      </c>
      <c r="I22" s="88" t="s">
        <v>947</v>
      </c>
      <c r="J22" s="88">
        <v>30</v>
      </c>
      <c r="K22" s="88" t="s">
        <v>2096</v>
      </c>
      <c r="L22" s="88" t="s">
        <v>2097</v>
      </c>
    </row>
    <row r="23" spans="1:15">
      <c r="B23" s="8">
        <v>18</v>
      </c>
      <c r="C23" s="26" t="s">
        <v>80</v>
      </c>
      <c r="D23" s="26" t="s">
        <v>1752</v>
      </c>
      <c r="E23" s="26"/>
      <c r="F23" s="26"/>
      <c r="G23" s="26"/>
      <c r="H23" s="26"/>
      <c r="I23" s="26" t="s">
        <v>940</v>
      </c>
      <c r="J23" s="26"/>
      <c r="K23" s="26"/>
      <c r="L23" s="26" t="s">
        <v>2098</v>
      </c>
    </row>
    <row r="24" spans="1:15">
      <c r="B24" s="8">
        <v>19</v>
      </c>
      <c r="C24" s="26" t="s">
        <v>2099</v>
      </c>
      <c r="D24" s="26" t="s">
        <v>2100</v>
      </c>
      <c r="E24" s="26"/>
      <c r="F24" s="26"/>
      <c r="G24" s="26"/>
      <c r="H24" s="26"/>
      <c r="I24" s="26" t="s">
        <v>1027</v>
      </c>
      <c r="J24" s="26"/>
      <c r="K24" s="26" t="s">
        <v>2101</v>
      </c>
      <c r="L24" s="26" t="s">
        <v>2067</v>
      </c>
    </row>
    <row r="25" spans="1:15">
      <c r="B25" s="8">
        <v>20</v>
      </c>
      <c r="C25" s="26" t="s">
        <v>315</v>
      </c>
      <c r="D25" s="412" t="s">
        <v>2102</v>
      </c>
      <c r="E25" s="26"/>
      <c r="F25" s="26"/>
      <c r="G25" s="26"/>
      <c r="H25" s="26"/>
      <c r="I25" s="26" t="s">
        <v>1053</v>
      </c>
      <c r="J25" s="26" t="s">
        <v>2103</v>
      </c>
      <c r="K25" s="26"/>
      <c r="L25" s="26" t="s">
        <v>2104</v>
      </c>
    </row>
    <row r="26" spans="1:15">
      <c r="B26" s="8">
        <v>21</v>
      </c>
      <c r="C26" s="26" t="s">
        <v>2105</v>
      </c>
      <c r="D26" s="111" t="s">
        <v>1951</v>
      </c>
      <c r="E26" s="26"/>
      <c r="F26" s="26"/>
      <c r="G26" s="26" t="s">
        <v>1906</v>
      </c>
      <c r="H26" s="26"/>
      <c r="I26" s="26" t="s">
        <v>947</v>
      </c>
      <c r="J26" s="26">
        <v>6</v>
      </c>
      <c r="K26" s="26" t="s">
        <v>2106</v>
      </c>
      <c r="L26" s="26" t="s">
        <v>2107</v>
      </c>
    </row>
    <row r="27" spans="1:15">
      <c r="B27" s="8">
        <v>22</v>
      </c>
      <c r="C27" s="26" t="s">
        <v>1765</v>
      </c>
      <c r="D27" s="111" t="s">
        <v>2108</v>
      </c>
      <c r="E27" s="26"/>
      <c r="F27" s="26"/>
      <c r="G27" s="26" t="s">
        <v>1906</v>
      </c>
      <c r="H27" s="312" t="s">
        <v>1262</v>
      </c>
      <c r="I27" s="26" t="s">
        <v>947</v>
      </c>
      <c r="J27" s="26">
        <v>6</v>
      </c>
      <c r="K27" s="26" t="s">
        <v>2106</v>
      </c>
      <c r="L27" s="26" t="s">
        <v>2109</v>
      </c>
    </row>
    <row r="28" spans="1:15">
      <c r="B28" s="8">
        <v>23</v>
      </c>
      <c r="C28" s="203" t="s">
        <v>2110</v>
      </c>
      <c r="D28" s="209" t="s">
        <v>1867</v>
      </c>
      <c r="E28" s="26"/>
      <c r="F28" s="26"/>
      <c r="G28" s="26"/>
      <c r="H28" s="312"/>
      <c r="I28" s="26"/>
      <c r="J28" s="26"/>
      <c r="K28" s="26"/>
      <c r="L28" s="26"/>
    </row>
    <row r="29" spans="1:15">
      <c r="B29" s="8">
        <v>24</v>
      </c>
      <c r="C29" s="26" t="s">
        <v>1861</v>
      </c>
      <c r="D29" s="111" t="s">
        <v>1870</v>
      </c>
      <c r="E29" s="26"/>
      <c r="F29" s="26"/>
      <c r="G29" s="26"/>
      <c r="H29" s="26"/>
      <c r="I29" s="26" t="s">
        <v>947</v>
      </c>
      <c r="J29" s="26">
        <v>30</v>
      </c>
      <c r="K29" s="26"/>
      <c r="L29" s="26" t="s">
        <v>2111</v>
      </c>
    </row>
    <row r="30" spans="1:15">
      <c r="B30" s="8">
        <v>25</v>
      </c>
      <c r="C30" s="203" t="s">
        <v>2112</v>
      </c>
      <c r="D30" s="209" t="s">
        <v>2113</v>
      </c>
      <c r="E30" s="26"/>
      <c r="F30" s="26"/>
      <c r="G30" s="26"/>
      <c r="H30" s="26"/>
      <c r="I30" s="26" t="s">
        <v>947</v>
      </c>
      <c r="J30" s="26">
        <v>30</v>
      </c>
      <c r="K30" s="26" t="s">
        <v>2113</v>
      </c>
      <c r="L30" s="26"/>
    </row>
    <row r="31" spans="1:15">
      <c r="B31" s="8">
        <v>26</v>
      </c>
      <c r="C31" s="203" t="s">
        <v>2114</v>
      </c>
      <c r="D31" s="209" t="s">
        <v>2115</v>
      </c>
      <c r="E31" s="26"/>
      <c r="F31" s="26"/>
      <c r="G31" s="26"/>
      <c r="H31" s="26"/>
      <c r="I31" s="26" t="s">
        <v>947</v>
      </c>
      <c r="J31" s="26">
        <v>30</v>
      </c>
      <c r="K31" s="26" t="s">
        <v>2115</v>
      </c>
      <c r="L31" s="26"/>
    </row>
    <row r="32" spans="1:15">
      <c r="B32" s="8">
        <v>27</v>
      </c>
      <c r="C32" s="384" t="s">
        <v>1833</v>
      </c>
      <c r="D32" s="384" t="s">
        <v>1834</v>
      </c>
      <c r="E32" s="384"/>
      <c r="F32" s="384"/>
      <c r="G32" s="384"/>
      <c r="H32" s="384"/>
      <c r="I32" s="384" t="s">
        <v>947</v>
      </c>
      <c r="J32" s="384">
        <v>20</v>
      </c>
      <c r="K32" s="384" t="s">
        <v>1831</v>
      </c>
      <c r="L32" s="384"/>
      <c r="M32" s="3"/>
    </row>
    <row r="33" spans="2:12">
      <c r="B33" s="8">
        <v>28</v>
      </c>
      <c r="C33" s="26" t="s">
        <v>2116</v>
      </c>
      <c r="D33" s="111" t="s">
        <v>2117</v>
      </c>
      <c r="E33" s="26"/>
      <c r="F33" s="26"/>
      <c r="G33" s="26"/>
      <c r="H33" s="26"/>
      <c r="I33" s="26" t="s">
        <v>1053</v>
      </c>
      <c r="J33" s="26" t="s">
        <v>2118</v>
      </c>
      <c r="K33" s="26" t="s">
        <v>2119</v>
      </c>
      <c r="L33" s="26"/>
    </row>
    <row r="34" spans="2:12">
      <c r="B34" s="8">
        <v>29</v>
      </c>
      <c r="C34" s="26" t="s">
        <v>2120</v>
      </c>
      <c r="D34" s="111" t="s">
        <v>2121</v>
      </c>
      <c r="E34" s="26"/>
      <c r="F34" s="26"/>
      <c r="G34" s="26"/>
      <c r="H34" s="26"/>
      <c r="I34" s="26" t="s">
        <v>1053</v>
      </c>
      <c r="J34" s="26" t="s">
        <v>2118</v>
      </c>
      <c r="K34" s="26" t="s">
        <v>2119</v>
      </c>
      <c r="L34" s="26"/>
    </row>
    <row r="35" spans="2:12">
      <c r="B35" s="8">
        <v>30</v>
      </c>
      <c r="C35" s="26" t="s">
        <v>2122</v>
      </c>
      <c r="D35" s="111" t="s">
        <v>2123</v>
      </c>
      <c r="E35" s="26"/>
      <c r="F35" s="26"/>
      <c r="G35" s="26"/>
      <c r="H35" s="26"/>
      <c r="I35" s="26" t="s">
        <v>1053</v>
      </c>
      <c r="J35" s="26" t="s">
        <v>2118</v>
      </c>
      <c r="K35" s="26" t="s">
        <v>2119</v>
      </c>
      <c r="L35" s="26"/>
    </row>
    <row r="36" spans="2:12">
      <c r="B36" s="8">
        <v>31</v>
      </c>
      <c r="C36" s="26" t="s">
        <v>2124</v>
      </c>
      <c r="D36" s="111" t="s">
        <v>2125</v>
      </c>
      <c r="E36" s="26"/>
      <c r="F36" s="26"/>
      <c r="G36" s="26"/>
      <c r="H36" s="26"/>
      <c r="I36" s="26" t="s">
        <v>1053</v>
      </c>
      <c r="J36" s="26" t="s">
        <v>2118</v>
      </c>
      <c r="K36" s="26" t="s">
        <v>2119</v>
      </c>
      <c r="L36" s="26"/>
    </row>
    <row r="37" spans="2:12">
      <c r="B37" s="8">
        <v>32</v>
      </c>
      <c r="C37" s="26" t="s">
        <v>2126</v>
      </c>
      <c r="D37" s="111" t="s">
        <v>2127</v>
      </c>
      <c r="E37" s="26"/>
      <c r="F37" s="26"/>
      <c r="G37" s="26"/>
      <c r="H37" s="26"/>
      <c r="I37" s="26" t="s">
        <v>1053</v>
      </c>
      <c r="J37" s="26" t="s">
        <v>2118</v>
      </c>
      <c r="K37" s="26" t="s">
        <v>2128</v>
      </c>
      <c r="L37" s="26"/>
    </row>
    <row r="38" spans="2:12">
      <c r="B38" s="8">
        <v>33</v>
      </c>
      <c r="C38" s="26" t="s">
        <v>2129</v>
      </c>
      <c r="D38" s="111" t="s">
        <v>2130</v>
      </c>
      <c r="E38" s="26"/>
      <c r="F38" s="26"/>
      <c r="G38" s="26"/>
      <c r="H38" s="26"/>
      <c r="I38" s="26" t="s">
        <v>1053</v>
      </c>
      <c r="J38" s="26" t="s">
        <v>2118</v>
      </c>
      <c r="K38" s="26" t="s">
        <v>2119</v>
      </c>
      <c r="L38" s="26"/>
    </row>
    <row r="39" spans="2:12">
      <c r="B39" s="8">
        <v>34</v>
      </c>
      <c r="C39" s="26" t="s">
        <v>2131</v>
      </c>
      <c r="D39" s="111" t="s">
        <v>2132</v>
      </c>
      <c r="E39" s="26"/>
      <c r="F39" s="26"/>
      <c r="G39" s="26"/>
      <c r="H39" s="26"/>
      <c r="I39" s="26" t="s">
        <v>1053</v>
      </c>
      <c r="J39" s="26" t="s">
        <v>2118</v>
      </c>
      <c r="K39" s="26" t="s">
        <v>2119</v>
      </c>
      <c r="L39" s="26"/>
    </row>
    <row r="40" spans="2:12">
      <c r="B40" s="8">
        <v>35</v>
      </c>
      <c r="C40" s="26" t="s">
        <v>2133</v>
      </c>
      <c r="D40" s="111" t="s">
        <v>2134</v>
      </c>
      <c r="E40" s="26"/>
      <c r="F40" s="26"/>
      <c r="G40" s="26"/>
      <c r="H40" s="26"/>
      <c r="I40" s="26" t="s">
        <v>1053</v>
      </c>
      <c r="J40" s="26" t="s">
        <v>2118</v>
      </c>
      <c r="K40" s="26" t="s">
        <v>2119</v>
      </c>
      <c r="L40" s="26"/>
    </row>
    <row r="41" spans="2:12">
      <c r="B41" s="8">
        <v>36</v>
      </c>
      <c r="C41" s="26" t="s">
        <v>2135</v>
      </c>
      <c r="D41" s="26" t="s">
        <v>2136</v>
      </c>
      <c r="E41" s="26"/>
      <c r="F41" s="26"/>
      <c r="G41" s="26"/>
      <c r="H41" s="26"/>
      <c r="I41" s="26" t="s">
        <v>1053</v>
      </c>
      <c r="J41" s="26" t="s">
        <v>2118</v>
      </c>
      <c r="K41" s="26" t="s">
        <v>2119</v>
      </c>
      <c r="L41" s="26"/>
    </row>
    <row r="42" spans="2:12">
      <c r="B42" s="8">
        <v>37</v>
      </c>
      <c r="C42" s="26" t="s">
        <v>2137</v>
      </c>
      <c r="D42" s="26" t="s">
        <v>2138</v>
      </c>
      <c r="E42" s="26"/>
      <c r="F42" s="26"/>
      <c r="G42" s="26"/>
      <c r="H42" s="26"/>
      <c r="I42" s="26" t="s">
        <v>1053</v>
      </c>
      <c r="J42" s="26" t="s">
        <v>2118</v>
      </c>
      <c r="K42" s="26" t="s">
        <v>2119</v>
      </c>
      <c r="L42" s="26"/>
    </row>
    <row r="43" spans="2:12">
      <c r="B43" s="8">
        <v>38</v>
      </c>
      <c r="C43" s="26" t="s">
        <v>2139</v>
      </c>
      <c r="D43" s="26" t="s">
        <v>2140</v>
      </c>
      <c r="E43" s="26"/>
      <c r="F43" s="26"/>
      <c r="G43" s="26"/>
      <c r="H43" s="26"/>
      <c r="I43" s="26" t="s">
        <v>1053</v>
      </c>
      <c r="J43" s="26" t="s">
        <v>2118</v>
      </c>
      <c r="K43" s="26" t="s">
        <v>2119</v>
      </c>
      <c r="L43" s="26"/>
    </row>
    <row r="44" spans="2:12">
      <c r="B44" s="8">
        <v>39</v>
      </c>
      <c r="C44" s="26" t="s">
        <v>2141</v>
      </c>
      <c r="D44" s="26" t="s">
        <v>2142</v>
      </c>
      <c r="E44" s="26"/>
      <c r="F44" s="26"/>
      <c r="G44" s="26"/>
      <c r="H44" s="26"/>
      <c r="I44" s="26" t="s">
        <v>1053</v>
      </c>
      <c r="J44" s="26" t="s">
        <v>2118</v>
      </c>
      <c r="K44" s="26" t="s">
        <v>2119</v>
      </c>
      <c r="L44" s="26"/>
    </row>
    <row r="45" spans="2:12">
      <c r="B45" s="8">
        <v>40</v>
      </c>
      <c r="C45" s="26" t="s">
        <v>839</v>
      </c>
      <c r="D45" s="26" t="s">
        <v>2143</v>
      </c>
      <c r="E45" s="26"/>
      <c r="F45" s="26"/>
      <c r="G45" s="26"/>
      <c r="H45" s="26"/>
      <c r="I45" s="26" t="s">
        <v>1053</v>
      </c>
      <c r="J45" s="26" t="s">
        <v>2118</v>
      </c>
      <c r="K45" s="26" t="s">
        <v>2144</v>
      </c>
      <c r="L45" s="26"/>
    </row>
    <row r="46" spans="2:12">
      <c r="B46" s="8">
        <v>41</v>
      </c>
      <c r="C46" s="26" t="s">
        <v>841</v>
      </c>
      <c r="D46" s="26" t="s">
        <v>2145</v>
      </c>
      <c r="E46" s="26"/>
      <c r="F46" s="26"/>
      <c r="G46" s="26"/>
      <c r="H46" s="26"/>
      <c r="I46" s="26" t="s">
        <v>1053</v>
      </c>
      <c r="J46" s="26" t="s">
        <v>2118</v>
      </c>
      <c r="K46" s="26" t="s">
        <v>2144</v>
      </c>
      <c r="L46" s="26"/>
    </row>
    <row r="47" spans="2:12">
      <c r="B47" s="8">
        <v>42</v>
      </c>
      <c r="C47" s="26" t="s">
        <v>843</v>
      </c>
      <c r="D47" s="26" t="s">
        <v>2146</v>
      </c>
      <c r="E47" s="26"/>
      <c r="F47" s="26"/>
      <c r="G47" s="26"/>
      <c r="H47" s="26"/>
      <c r="I47" s="26" t="s">
        <v>1053</v>
      </c>
      <c r="J47" s="26" t="s">
        <v>2118</v>
      </c>
      <c r="K47" s="26" t="s">
        <v>2144</v>
      </c>
      <c r="L47" s="26"/>
    </row>
    <row r="48" spans="2:12">
      <c r="B48" s="8">
        <v>43</v>
      </c>
      <c r="C48" s="26" t="s">
        <v>845</v>
      </c>
      <c r="D48" s="26" t="s">
        <v>2147</v>
      </c>
      <c r="E48" s="26"/>
      <c r="F48" s="26"/>
      <c r="G48" s="26"/>
      <c r="H48" s="26"/>
      <c r="I48" s="26" t="s">
        <v>1053</v>
      </c>
      <c r="J48" s="26" t="s">
        <v>2118</v>
      </c>
      <c r="K48" s="26" t="s">
        <v>2144</v>
      </c>
      <c r="L48" s="26"/>
    </row>
    <row r="49" spans="2:12">
      <c r="B49" s="8">
        <v>44</v>
      </c>
      <c r="C49" s="26" t="s">
        <v>847</v>
      </c>
      <c r="D49" s="26" t="s">
        <v>2148</v>
      </c>
      <c r="E49" s="26"/>
      <c r="F49" s="26"/>
      <c r="G49" s="26"/>
      <c r="H49" s="26"/>
      <c r="I49" s="26" t="s">
        <v>1053</v>
      </c>
      <c r="J49" s="26" t="s">
        <v>2118</v>
      </c>
      <c r="K49" s="26" t="s">
        <v>2144</v>
      </c>
      <c r="L49" s="26"/>
    </row>
    <row r="50" spans="2:12">
      <c r="B50" s="8">
        <v>45</v>
      </c>
      <c r="C50" s="26" t="s">
        <v>849</v>
      </c>
      <c r="D50" s="26" t="s">
        <v>2149</v>
      </c>
      <c r="E50" s="26"/>
      <c r="F50" s="26"/>
      <c r="G50" s="26"/>
      <c r="H50" s="26"/>
      <c r="I50" s="26" t="s">
        <v>1053</v>
      </c>
      <c r="J50" s="26" t="s">
        <v>2118</v>
      </c>
      <c r="K50" s="26" t="s">
        <v>2144</v>
      </c>
      <c r="L50" s="26"/>
    </row>
    <row r="51" spans="2:12">
      <c r="B51" s="8">
        <v>46</v>
      </c>
      <c r="C51" s="26" t="s">
        <v>851</v>
      </c>
      <c r="D51" s="26" t="s">
        <v>2150</v>
      </c>
      <c r="E51" s="26"/>
      <c r="F51" s="26"/>
      <c r="G51" s="26"/>
      <c r="H51" s="26"/>
      <c r="I51" s="26" t="s">
        <v>1053</v>
      </c>
      <c r="J51" s="26" t="s">
        <v>2118</v>
      </c>
      <c r="K51" s="26" t="s">
        <v>2144</v>
      </c>
      <c r="L51" s="26"/>
    </row>
    <row r="52" spans="2:12">
      <c r="B52" s="8">
        <v>47</v>
      </c>
      <c r="C52" s="26" t="s">
        <v>853</v>
      </c>
      <c r="D52" s="26" t="s">
        <v>2151</v>
      </c>
      <c r="E52" s="26"/>
      <c r="F52" s="26"/>
      <c r="G52" s="26"/>
      <c r="H52" s="26"/>
      <c r="I52" s="26" t="s">
        <v>1053</v>
      </c>
      <c r="J52" s="26" t="s">
        <v>2118</v>
      </c>
      <c r="K52" s="26" t="s">
        <v>2144</v>
      </c>
      <c r="L52" s="26"/>
    </row>
    <row r="53" spans="2:12">
      <c r="B53" s="8">
        <v>48</v>
      </c>
      <c r="C53" s="26" t="s">
        <v>855</v>
      </c>
      <c r="D53" s="26" t="s">
        <v>2152</v>
      </c>
      <c r="E53" s="26"/>
      <c r="F53" s="26"/>
      <c r="G53" s="26"/>
      <c r="H53" s="26"/>
      <c r="I53" s="26" t="s">
        <v>1053</v>
      </c>
      <c r="J53" s="26" t="s">
        <v>2118</v>
      </c>
      <c r="K53" s="26" t="s">
        <v>2144</v>
      </c>
      <c r="L53" s="26"/>
    </row>
    <row r="54" spans="2:12">
      <c r="B54" s="8">
        <v>49</v>
      </c>
      <c r="C54" s="26" t="s">
        <v>857</v>
      </c>
      <c r="D54" s="26" t="s">
        <v>2153</v>
      </c>
      <c r="E54" s="26"/>
      <c r="F54" s="26"/>
      <c r="G54" s="26"/>
      <c r="H54" s="26"/>
      <c r="I54" s="26" t="s">
        <v>1053</v>
      </c>
      <c r="J54" s="26" t="s">
        <v>2118</v>
      </c>
      <c r="K54" s="26" t="s">
        <v>2144</v>
      </c>
      <c r="L54" s="26"/>
    </row>
    <row r="55" spans="2:12">
      <c r="B55" s="8">
        <v>50</v>
      </c>
      <c r="C55" s="26" t="s">
        <v>859</v>
      </c>
      <c r="D55" s="26" t="s">
        <v>2154</v>
      </c>
      <c r="E55" s="26"/>
      <c r="F55" s="26"/>
      <c r="G55" s="26"/>
      <c r="H55" s="26"/>
      <c r="I55" s="26" t="s">
        <v>1053</v>
      </c>
      <c r="J55" s="26" t="s">
        <v>2118</v>
      </c>
      <c r="K55" s="26" t="s">
        <v>2144</v>
      </c>
      <c r="L55" s="26"/>
    </row>
    <row r="56" spans="2:12">
      <c r="B56" s="8">
        <v>51</v>
      </c>
      <c r="C56" s="26" t="s">
        <v>861</v>
      </c>
      <c r="D56" s="26" t="s">
        <v>2155</v>
      </c>
      <c r="E56" s="26"/>
      <c r="F56" s="26"/>
      <c r="G56" s="26"/>
      <c r="H56" s="26"/>
      <c r="I56" s="26" t="s">
        <v>1053</v>
      </c>
      <c r="J56" s="26" t="s">
        <v>2118</v>
      </c>
      <c r="K56" s="26" t="s">
        <v>2144</v>
      </c>
      <c r="L56" s="26"/>
    </row>
    <row r="57" spans="2:12">
      <c r="B57" s="8">
        <v>52</v>
      </c>
      <c r="C57" s="26" t="s">
        <v>2156</v>
      </c>
      <c r="D57" s="26" t="s">
        <v>2157</v>
      </c>
      <c r="E57" s="26"/>
      <c r="F57" s="26"/>
      <c r="G57" s="26"/>
      <c r="H57" s="26"/>
      <c r="I57" s="26" t="s">
        <v>1053</v>
      </c>
      <c r="J57" s="26" t="s">
        <v>2118</v>
      </c>
      <c r="K57" s="26" t="s">
        <v>2158</v>
      </c>
      <c r="L57" s="26"/>
    </row>
    <row r="58" spans="2:12">
      <c r="B58" s="8">
        <v>53</v>
      </c>
      <c r="C58" s="26" t="s">
        <v>2159</v>
      </c>
      <c r="D58" s="26" t="s">
        <v>2160</v>
      </c>
      <c r="E58" s="26"/>
      <c r="F58" s="26"/>
      <c r="G58" s="26"/>
      <c r="H58" s="26"/>
      <c r="I58" s="26" t="s">
        <v>1053</v>
      </c>
      <c r="J58" s="26" t="s">
        <v>2118</v>
      </c>
      <c r="K58" s="26" t="s">
        <v>2158</v>
      </c>
      <c r="L58" s="26"/>
    </row>
    <row r="59" spans="2:12">
      <c r="B59" s="8">
        <v>54</v>
      </c>
      <c r="C59" s="26" t="s">
        <v>2161</v>
      </c>
      <c r="D59" s="26" t="s">
        <v>2162</v>
      </c>
      <c r="E59" s="26"/>
      <c r="F59" s="26"/>
      <c r="G59" s="26"/>
      <c r="H59" s="26"/>
      <c r="I59" s="26" t="s">
        <v>1053</v>
      </c>
      <c r="J59" s="26" t="s">
        <v>2118</v>
      </c>
      <c r="K59" s="26" t="s">
        <v>2158</v>
      </c>
      <c r="L59" s="26"/>
    </row>
    <row r="60" spans="2:12">
      <c r="B60" s="8">
        <v>55</v>
      </c>
      <c r="C60" s="26" t="s">
        <v>2163</v>
      </c>
      <c r="D60" s="26" t="s">
        <v>2164</v>
      </c>
      <c r="E60" s="26"/>
      <c r="F60" s="26"/>
      <c r="G60" s="26"/>
      <c r="H60" s="26"/>
      <c r="I60" s="26" t="s">
        <v>1053</v>
      </c>
      <c r="J60" s="26" t="s">
        <v>2118</v>
      </c>
      <c r="K60" s="26" t="s">
        <v>2158</v>
      </c>
      <c r="L60" s="26"/>
    </row>
    <row r="61" spans="2:12">
      <c r="B61" s="8">
        <v>56</v>
      </c>
      <c r="C61" s="26" t="s">
        <v>2165</v>
      </c>
      <c r="D61" s="26" t="s">
        <v>2166</v>
      </c>
      <c r="E61" s="26"/>
      <c r="F61" s="26"/>
      <c r="G61" s="26"/>
      <c r="H61" s="26"/>
      <c r="I61" s="26" t="s">
        <v>1053</v>
      </c>
      <c r="J61" s="26" t="s">
        <v>2118</v>
      </c>
      <c r="K61" s="26" t="s">
        <v>2158</v>
      </c>
      <c r="L61" s="26"/>
    </row>
    <row r="62" spans="2:12">
      <c r="B62" s="8">
        <v>57</v>
      </c>
      <c r="C62" s="26" t="s">
        <v>2167</v>
      </c>
      <c r="D62" s="26" t="s">
        <v>2168</v>
      </c>
      <c r="E62" s="26"/>
      <c r="F62" s="26"/>
      <c r="G62" s="26"/>
      <c r="H62" s="26"/>
      <c r="I62" s="26" t="s">
        <v>1053</v>
      </c>
      <c r="J62" s="26" t="s">
        <v>2118</v>
      </c>
      <c r="K62" s="26" t="s">
        <v>2158</v>
      </c>
      <c r="L62" s="26"/>
    </row>
    <row r="63" spans="2:12">
      <c r="B63" s="8">
        <v>58</v>
      </c>
      <c r="C63" s="26" t="s">
        <v>2169</v>
      </c>
      <c r="D63" s="26" t="s">
        <v>2170</v>
      </c>
      <c r="E63" s="26"/>
      <c r="F63" s="26"/>
      <c r="G63" s="26"/>
      <c r="H63" s="26"/>
      <c r="I63" s="26" t="s">
        <v>1053</v>
      </c>
      <c r="J63" s="26" t="s">
        <v>2118</v>
      </c>
      <c r="K63" s="26" t="s">
        <v>2158</v>
      </c>
      <c r="L63" s="26"/>
    </row>
    <row r="64" spans="2:12">
      <c r="B64" s="8">
        <v>59</v>
      </c>
      <c r="C64" s="26" t="s">
        <v>2171</v>
      </c>
      <c r="D64" s="26" t="s">
        <v>2172</v>
      </c>
      <c r="E64" s="26"/>
      <c r="F64" s="26"/>
      <c r="G64" s="26"/>
      <c r="H64" s="26"/>
      <c r="I64" s="26" t="s">
        <v>1053</v>
      </c>
      <c r="J64" s="26" t="s">
        <v>2118</v>
      </c>
      <c r="K64" s="26" t="s">
        <v>2158</v>
      </c>
      <c r="L64" s="26"/>
    </row>
    <row r="65" spans="2:12">
      <c r="B65" s="8">
        <v>60</v>
      </c>
      <c r="C65" s="26" t="s">
        <v>2173</v>
      </c>
      <c r="D65" s="26" t="s">
        <v>2174</v>
      </c>
      <c r="E65" s="26"/>
      <c r="F65" s="26"/>
      <c r="G65" s="26"/>
      <c r="H65" s="26"/>
      <c r="I65" s="26" t="s">
        <v>1053</v>
      </c>
      <c r="J65" s="26" t="s">
        <v>2118</v>
      </c>
      <c r="K65" s="26" t="s">
        <v>2158</v>
      </c>
      <c r="L65" s="26"/>
    </row>
    <row r="66" spans="2:12">
      <c r="B66" s="8">
        <v>61</v>
      </c>
      <c r="C66" s="26" t="s">
        <v>2175</v>
      </c>
      <c r="D66" s="26" t="s">
        <v>2176</v>
      </c>
      <c r="E66" s="26"/>
      <c r="F66" s="26"/>
      <c r="G66" s="26"/>
      <c r="H66" s="26"/>
      <c r="I66" s="26" t="s">
        <v>1053</v>
      </c>
      <c r="J66" s="26" t="s">
        <v>2118</v>
      </c>
      <c r="K66" s="26" t="s">
        <v>2158</v>
      </c>
      <c r="L66" s="26"/>
    </row>
    <row r="67" spans="2:12">
      <c r="B67" s="8">
        <v>62</v>
      </c>
      <c r="C67" s="26" t="s">
        <v>2177</v>
      </c>
      <c r="D67" s="26" t="s">
        <v>2178</v>
      </c>
      <c r="E67" s="26"/>
      <c r="F67" s="26"/>
      <c r="G67" s="26"/>
      <c r="H67" s="26"/>
      <c r="I67" s="26" t="s">
        <v>1053</v>
      </c>
      <c r="J67" s="26" t="s">
        <v>2118</v>
      </c>
      <c r="K67" s="26" t="s">
        <v>2158</v>
      </c>
      <c r="L67" s="26"/>
    </row>
    <row r="68" spans="2:12">
      <c r="B68" s="8">
        <v>63</v>
      </c>
      <c r="C68" s="26" t="s">
        <v>2179</v>
      </c>
      <c r="D68" s="26" t="s">
        <v>2180</v>
      </c>
      <c r="E68" s="26"/>
      <c r="F68" s="26"/>
      <c r="G68" s="26"/>
      <c r="H68" s="26"/>
      <c r="I68" s="26" t="s">
        <v>1053</v>
      </c>
      <c r="J68" s="26" t="s">
        <v>2118</v>
      </c>
      <c r="K68" s="26" t="s">
        <v>2158</v>
      </c>
      <c r="L68" s="26"/>
    </row>
    <row r="69" spans="2:12">
      <c r="B69" s="8">
        <v>64</v>
      </c>
      <c r="C69" s="26" t="s">
        <v>2181</v>
      </c>
      <c r="D69" s="26" t="s">
        <v>2182</v>
      </c>
      <c r="E69" s="26"/>
      <c r="F69" s="26"/>
      <c r="G69" s="26"/>
      <c r="H69" s="26"/>
      <c r="I69" s="26" t="s">
        <v>1053</v>
      </c>
      <c r="J69" s="26" t="s">
        <v>2118</v>
      </c>
      <c r="K69" s="26" t="s">
        <v>2183</v>
      </c>
      <c r="L69" s="26"/>
    </row>
    <row r="70" spans="2:12">
      <c r="B70" s="8">
        <v>65</v>
      </c>
      <c r="C70" s="26" t="s">
        <v>2184</v>
      </c>
      <c r="D70" s="26" t="s">
        <v>2185</v>
      </c>
      <c r="E70" s="26"/>
      <c r="F70" s="26"/>
      <c r="G70" s="26"/>
      <c r="H70" s="26"/>
      <c r="I70" s="26" t="s">
        <v>1053</v>
      </c>
      <c r="J70" s="26" t="s">
        <v>2118</v>
      </c>
      <c r="K70" s="26" t="s">
        <v>2183</v>
      </c>
      <c r="L70" s="26"/>
    </row>
    <row r="71" spans="2:12">
      <c r="B71" s="8">
        <v>66</v>
      </c>
      <c r="C71" s="26" t="s">
        <v>2186</v>
      </c>
      <c r="D71" s="26" t="s">
        <v>2187</v>
      </c>
      <c r="E71" s="26"/>
      <c r="F71" s="26"/>
      <c r="G71" s="26"/>
      <c r="H71" s="26"/>
      <c r="I71" s="26" t="s">
        <v>1053</v>
      </c>
      <c r="J71" s="26" t="s">
        <v>2118</v>
      </c>
      <c r="K71" s="26" t="s">
        <v>2183</v>
      </c>
      <c r="L71" s="26"/>
    </row>
    <row r="72" spans="2:12">
      <c r="B72" s="8">
        <v>67</v>
      </c>
      <c r="C72" s="26" t="s">
        <v>2188</v>
      </c>
      <c r="D72" s="26" t="s">
        <v>2189</v>
      </c>
      <c r="E72" s="26"/>
      <c r="F72" s="26"/>
      <c r="G72" s="26"/>
      <c r="H72" s="26"/>
      <c r="I72" s="26" t="s">
        <v>1053</v>
      </c>
      <c r="J72" s="26" t="s">
        <v>2118</v>
      </c>
      <c r="K72" s="26" t="s">
        <v>2183</v>
      </c>
      <c r="L72" s="26"/>
    </row>
    <row r="73" spans="2:12">
      <c r="B73" s="8">
        <v>68</v>
      </c>
      <c r="C73" s="26" t="s">
        <v>2190</v>
      </c>
      <c r="D73" s="26" t="s">
        <v>2191</v>
      </c>
      <c r="E73" s="26"/>
      <c r="F73" s="26"/>
      <c r="G73" s="26"/>
      <c r="H73" s="26"/>
      <c r="I73" s="26" t="s">
        <v>1053</v>
      </c>
      <c r="J73" s="26" t="s">
        <v>2118</v>
      </c>
      <c r="K73" s="26" t="s">
        <v>2183</v>
      </c>
      <c r="L73" s="26"/>
    </row>
    <row r="74" spans="2:12">
      <c r="B74" s="8">
        <v>69</v>
      </c>
      <c r="C74" s="26" t="s">
        <v>2192</v>
      </c>
      <c r="D74" s="26" t="s">
        <v>2193</v>
      </c>
      <c r="E74" s="26"/>
      <c r="F74" s="26"/>
      <c r="G74" s="26"/>
      <c r="H74" s="26"/>
      <c r="I74" s="26" t="s">
        <v>1053</v>
      </c>
      <c r="J74" s="26" t="s">
        <v>2118</v>
      </c>
      <c r="K74" s="26" t="s">
        <v>2183</v>
      </c>
      <c r="L74" s="26"/>
    </row>
    <row r="75" spans="2:12">
      <c r="B75" s="8">
        <v>70</v>
      </c>
      <c r="C75" s="26" t="s">
        <v>2194</v>
      </c>
      <c r="D75" s="26" t="s">
        <v>2195</v>
      </c>
      <c r="E75" s="26"/>
      <c r="F75" s="26"/>
      <c r="G75" s="26"/>
      <c r="H75" s="26"/>
      <c r="I75" s="26" t="s">
        <v>1053</v>
      </c>
      <c r="J75" s="26" t="s">
        <v>2118</v>
      </c>
      <c r="K75" s="26" t="s">
        <v>2183</v>
      </c>
      <c r="L75" s="26"/>
    </row>
    <row r="76" spans="2:12">
      <c r="B76" s="8">
        <v>71</v>
      </c>
      <c r="C76" s="26" t="s">
        <v>2196</v>
      </c>
      <c r="D76" s="26" t="s">
        <v>2197</v>
      </c>
      <c r="E76" s="26"/>
      <c r="F76" s="26"/>
      <c r="G76" s="26"/>
      <c r="H76" s="26"/>
      <c r="I76" s="26" t="s">
        <v>1053</v>
      </c>
      <c r="J76" s="26" t="s">
        <v>2118</v>
      </c>
      <c r="K76" s="26" t="s">
        <v>2183</v>
      </c>
      <c r="L76" s="26"/>
    </row>
    <row r="77" spans="2:12">
      <c r="B77" s="8">
        <v>72</v>
      </c>
      <c r="C77" s="26" t="s">
        <v>2198</v>
      </c>
      <c r="D77" s="26" t="s">
        <v>2199</v>
      </c>
      <c r="E77" s="26"/>
      <c r="F77" s="26"/>
      <c r="G77" s="26"/>
      <c r="H77" s="26"/>
      <c r="I77" s="26" t="s">
        <v>1053</v>
      </c>
      <c r="J77" s="26" t="s">
        <v>2118</v>
      </c>
      <c r="K77" s="26" t="s">
        <v>2183</v>
      </c>
      <c r="L77" s="26"/>
    </row>
    <row r="78" spans="2:12">
      <c r="B78" s="8">
        <v>73</v>
      </c>
      <c r="C78" s="26" t="s">
        <v>2200</v>
      </c>
      <c r="D78" s="26" t="s">
        <v>2201</v>
      </c>
      <c r="E78" s="26"/>
      <c r="F78" s="26"/>
      <c r="G78" s="26"/>
      <c r="H78" s="26"/>
      <c r="I78" s="26" t="s">
        <v>1053</v>
      </c>
      <c r="J78" s="26" t="s">
        <v>2118</v>
      </c>
      <c r="K78" s="26" t="s">
        <v>2183</v>
      </c>
      <c r="L78" s="26"/>
    </row>
    <row r="79" spans="2:12">
      <c r="B79" s="8">
        <v>74</v>
      </c>
      <c r="C79" s="26" t="s">
        <v>2202</v>
      </c>
      <c r="D79" s="26" t="s">
        <v>2203</v>
      </c>
      <c r="E79" s="26"/>
      <c r="F79" s="26"/>
      <c r="G79" s="26"/>
      <c r="H79" s="26"/>
      <c r="I79" s="26" t="s">
        <v>1053</v>
      </c>
      <c r="J79" s="26" t="s">
        <v>2118</v>
      </c>
      <c r="K79" s="26" t="s">
        <v>2183</v>
      </c>
      <c r="L79" s="26"/>
    </row>
    <row r="80" spans="2:12">
      <c r="B80" s="8">
        <v>75</v>
      </c>
      <c r="C80" s="26" t="s">
        <v>2204</v>
      </c>
      <c r="D80" s="26" t="s">
        <v>2205</v>
      </c>
      <c r="E80" s="26"/>
      <c r="F80" s="26"/>
      <c r="G80" s="26"/>
      <c r="H80" s="26"/>
      <c r="I80" s="26" t="s">
        <v>1053</v>
      </c>
      <c r="J80" s="26" t="s">
        <v>2118</v>
      </c>
      <c r="K80" s="26" t="s">
        <v>2183</v>
      </c>
      <c r="L80" s="26"/>
    </row>
    <row r="81" spans="2:12">
      <c r="B81" s="8">
        <v>76</v>
      </c>
      <c r="C81" s="26" t="s">
        <v>2206</v>
      </c>
      <c r="D81" s="26" t="s">
        <v>2207</v>
      </c>
      <c r="E81" s="26"/>
      <c r="F81" s="26"/>
      <c r="G81" s="26"/>
      <c r="H81" s="26"/>
      <c r="I81" s="26" t="s">
        <v>1053</v>
      </c>
      <c r="J81" s="26" t="s">
        <v>2118</v>
      </c>
      <c r="K81" s="26" t="s">
        <v>2183</v>
      </c>
      <c r="L81" s="26"/>
    </row>
    <row r="82" spans="2:12">
      <c r="B82" s="8">
        <v>77</v>
      </c>
      <c r="C82" s="26" t="s">
        <v>2208</v>
      </c>
      <c r="D82" s="26" t="s">
        <v>2209</v>
      </c>
      <c r="E82" s="26"/>
      <c r="F82" s="26"/>
      <c r="G82" s="26"/>
      <c r="H82" s="26"/>
      <c r="I82" s="26" t="s">
        <v>1053</v>
      </c>
      <c r="J82" s="26" t="s">
        <v>2118</v>
      </c>
      <c r="K82" s="26" t="s">
        <v>2183</v>
      </c>
      <c r="L82" s="26"/>
    </row>
    <row r="83" spans="2:12">
      <c r="B83" s="8">
        <v>78</v>
      </c>
      <c r="C83" s="26" t="s">
        <v>2210</v>
      </c>
      <c r="D83" s="26" t="s">
        <v>2211</v>
      </c>
      <c r="E83" s="26"/>
      <c r="F83" s="26"/>
      <c r="G83" s="26"/>
      <c r="H83" s="26"/>
      <c r="I83" s="26" t="s">
        <v>1053</v>
      </c>
      <c r="J83" s="26" t="s">
        <v>2118</v>
      </c>
      <c r="K83" s="26" t="s">
        <v>2183</v>
      </c>
      <c r="L83" s="26"/>
    </row>
    <row r="84" spans="2:12">
      <c r="B84" s="8">
        <v>79</v>
      </c>
      <c r="C84" s="26" t="s">
        <v>2212</v>
      </c>
      <c r="D84" s="26" t="s">
        <v>2213</v>
      </c>
      <c r="E84" s="26"/>
      <c r="F84" s="26"/>
      <c r="G84" s="26"/>
      <c r="H84" s="26"/>
      <c r="I84" s="26" t="s">
        <v>1053</v>
      </c>
      <c r="J84" s="26" t="s">
        <v>2118</v>
      </c>
      <c r="K84" s="26" t="s">
        <v>2183</v>
      </c>
      <c r="L84" s="26"/>
    </row>
    <row r="85" spans="2:12">
      <c r="B85" s="8">
        <v>80</v>
      </c>
      <c r="C85" s="26" t="s">
        <v>2214</v>
      </c>
      <c r="D85" s="26" t="s">
        <v>2215</v>
      </c>
      <c r="E85" s="26"/>
      <c r="F85" s="26"/>
      <c r="G85" s="26"/>
      <c r="H85" s="26"/>
      <c r="I85" s="26" t="s">
        <v>1053</v>
      </c>
      <c r="J85" s="26" t="s">
        <v>2118</v>
      </c>
      <c r="K85" s="26" t="s">
        <v>2183</v>
      </c>
      <c r="L85" s="26"/>
    </row>
    <row r="86" spans="2:12">
      <c r="B86" s="8">
        <v>81</v>
      </c>
      <c r="C86" s="26" t="s">
        <v>2216</v>
      </c>
      <c r="D86" s="26" t="s">
        <v>2217</v>
      </c>
      <c r="E86" s="26"/>
      <c r="F86" s="26"/>
      <c r="G86" s="26"/>
      <c r="H86" s="26"/>
      <c r="I86" s="26" t="s">
        <v>1053</v>
      </c>
      <c r="J86" s="26" t="s">
        <v>2118</v>
      </c>
      <c r="K86" s="26" t="s">
        <v>2183</v>
      </c>
      <c r="L86" s="26"/>
    </row>
    <row r="87" spans="2:12">
      <c r="B87" s="8">
        <v>82</v>
      </c>
      <c r="C87" s="26" t="s">
        <v>2218</v>
      </c>
      <c r="D87" s="26" t="s">
        <v>2219</v>
      </c>
      <c r="E87" s="26"/>
      <c r="F87" s="26"/>
      <c r="G87" s="26"/>
      <c r="H87" s="26"/>
      <c r="I87" s="26" t="s">
        <v>1053</v>
      </c>
      <c r="J87" s="26" t="s">
        <v>2118</v>
      </c>
      <c r="K87" s="26" t="s">
        <v>2183</v>
      </c>
      <c r="L87" s="26"/>
    </row>
    <row r="88" spans="2:12">
      <c r="B88" s="8">
        <v>83</v>
      </c>
      <c r="C88" s="26" t="s">
        <v>2220</v>
      </c>
      <c r="D88" s="26" t="s">
        <v>2221</v>
      </c>
      <c r="E88" s="26"/>
      <c r="F88" s="26"/>
      <c r="G88" s="26"/>
      <c r="H88" s="26"/>
      <c r="I88" s="26" t="s">
        <v>1053</v>
      </c>
      <c r="J88" s="26" t="s">
        <v>2118</v>
      </c>
      <c r="K88" s="26" t="s">
        <v>2183</v>
      </c>
      <c r="L88" s="26"/>
    </row>
    <row r="89" spans="2:12">
      <c r="B89" s="8">
        <v>84</v>
      </c>
      <c r="C89" s="26" t="s">
        <v>2222</v>
      </c>
      <c r="D89" s="26" t="s">
        <v>2223</v>
      </c>
      <c r="E89" s="26"/>
      <c r="F89" s="26"/>
      <c r="G89" s="26"/>
      <c r="H89" s="26"/>
      <c r="I89" s="26" t="s">
        <v>1053</v>
      </c>
      <c r="J89" s="26" t="s">
        <v>2118</v>
      </c>
      <c r="K89" s="26" t="s">
        <v>2183</v>
      </c>
      <c r="L89" s="26"/>
    </row>
    <row r="90" spans="2:12">
      <c r="B90" s="8">
        <v>85</v>
      </c>
      <c r="C90" s="26" t="s">
        <v>2224</v>
      </c>
      <c r="D90" s="26" t="s">
        <v>2225</v>
      </c>
      <c r="E90" s="26"/>
      <c r="F90" s="26"/>
      <c r="G90" s="26"/>
      <c r="H90" s="26"/>
      <c r="I90" s="26" t="s">
        <v>1053</v>
      </c>
      <c r="J90" s="26" t="s">
        <v>2118</v>
      </c>
      <c r="K90" s="26" t="s">
        <v>2183</v>
      </c>
      <c r="L90" s="26"/>
    </row>
    <row r="91" spans="2:12">
      <c r="B91" s="8">
        <v>86</v>
      </c>
      <c r="C91" s="26" t="s">
        <v>2226</v>
      </c>
      <c r="D91" s="26" t="s">
        <v>2227</v>
      </c>
      <c r="E91" s="26"/>
      <c r="F91" s="26"/>
      <c r="G91" s="26"/>
      <c r="H91" s="26"/>
      <c r="I91" s="26" t="s">
        <v>1053</v>
      </c>
      <c r="J91" s="26" t="s">
        <v>2118</v>
      </c>
      <c r="K91" s="26" t="s">
        <v>2183</v>
      </c>
      <c r="L91" s="26"/>
    </row>
    <row r="92" spans="2:12">
      <c r="B92" s="8">
        <v>87</v>
      </c>
      <c r="C92" s="26" t="s">
        <v>2228</v>
      </c>
      <c r="D92" s="26" t="s">
        <v>2229</v>
      </c>
      <c r="E92" s="26"/>
      <c r="F92" s="26"/>
      <c r="G92" s="26"/>
      <c r="H92" s="26"/>
      <c r="I92" s="26" t="s">
        <v>1053</v>
      </c>
      <c r="J92" s="26" t="s">
        <v>2118</v>
      </c>
      <c r="K92" s="26" t="s">
        <v>2183</v>
      </c>
      <c r="L92" s="26"/>
    </row>
    <row r="93" spans="2:12">
      <c r="B93" s="8">
        <v>88</v>
      </c>
      <c r="C93" s="26" t="s">
        <v>2230</v>
      </c>
      <c r="D93" s="26" t="s">
        <v>2231</v>
      </c>
      <c r="E93" s="26"/>
      <c r="F93" s="26"/>
      <c r="G93" s="26"/>
      <c r="H93" s="26"/>
      <c r="I93" s="26" t="s">
        <v>1053</v>
      </c>
      <c r="J93" s="26" t="s">
        <v>2118</v>
      </c>
      <c r="K93" s="26" t="s">
        <v>2183</v>
      </c>
      <c r="L93" s="26"/>
    </row>
    <row r="94" spans="2:12">
      <c r="B94" s="8">
        <v>89</v>
      </c>
      <c r="C94" s="26" t="s">
        <v>2232</v>
      </c>
      <c r="D94" s="26" t="s">
        <v>2233</v>
      </c>
      <c r="E94" s="26"/>
      <c r="F94" s="26"/>
      <c r="G94" s="26"/>
      <c r="H94" s="26"/>
      <c r="I94" s="26" t="s">
        <v>1053</v>
      </c>
      <c r="J94" s="26" t="s">
        <v>2118</v>
      </c>
      <c r="K94" s="26" t="s">
        <v>2183</v>
      </c>
      <c r="L94" s="26"/>
    </row>
    <row r="95" spans="2:12">
      <c r="B95" s="8">
        <v>90</v>
      </c>
      <c r="C95" s="26" t="s">
        <v>2234</v>
      </c>
      <c r="D95" s="26" t="s">
        <v>2235</v>
      </c>
      <c r="E95" s="26"/>
      <c r="F95" s="26"/>
      <c r="G95" s="26"/>
      <c r="H95" s="26"/>
      <c r="I95" s="26" t="s">
        <v>1053</v>
      </c>
      <c r="J95" s="26" t="s">
        <v>2118</v>
      </c>
      <c r="K95" s="26" t="s">
        <v>2183</v>
      </c>
      <c r="L95" s="26"/>
    </row>
    <row r="96" spans="2:12">
      <c r="B96" s="8">
        <v>91</v>
      </c>
      <c r="C96" s="26" t="s">
        <v>2236</v>
      </c>
      <c r="D96" s="26" t="s">
        <v>2237</v>
      </c>
      <c r="E96" s="26"/>
      <c r="F96" s="26"/>
      <c r="G96" s="26"/>
      <c r="H96" s="26"/>
      <c r="I96" s="26" t="s">
        <v>1053</v>
      </c>
      <c r="J96" s="26" t="s">
        <v>2118</v>
      </c>
      <c r="K96" s="26" t="s">
        <v>2183</v>
      </c>
      <c r="L96" s="26"/>
    </row>
    <row r="97" spans="2:12">
      <c r="B97" s="8">
        <v>92</v>
      </c>
      <c r="C97" s="26" t="s">
        <v>2238</v>
      </c>
      <c r="D97" s="26" t="s">
        <v>2239</v>
      </c>
      <c r="E97" s="26"/>
      <c r="F97" s="26"/>
      <c r="G97" s="26"/>
      <c r="H97" s="26"/>
      <c r="I97" s="26" t="s">
        <v>1053</v>
      </c>
      <c r="J97" s="26" t="s">
        <v>2118</v>
      </c>
      <c r="K97" s="26" t="s">
        <v>2183</v>
      </c>
      <c r="L97" s="26"/>
    </row>
    <row r="98" spans="2:12">
      <c r="B98" s="8">
        <v>93</v>
      </c>
      <c r="C98" s="26" t="s">
        <v>2240</v>
      </c>
      <c r="D98" s="26" t="s">
        <v>2241</v>
      </c>
      <c r="E98" s="26"/>
      <c r="F98" s="26"/>
      <c r="G98" s="26"/>
      <c r="H98" s="26"/>
      <c r="I98" s="26" t="s">
        <v>1053</v>
      </c>
      <c r="J98" s="26" t="s">
        <v>2118</v>
      </c>
      <c r="K98" s="26" t="s">
        <v>2183</v>
      </c>
      <c r="L98" s="26"/>
    </row>
    <row r="99" spans="2:12">
      <c r="B99" s="8">
        <v>94</v>
      </c>
      <c r="C99" s="26" t="s">
        <v>2242</v>
      </c>
      <c r="D99" s="26" t="s">
        <v>2243</v>
      </c>
      <c r="E99" s="26"/>
      <c r="F99" s="26"/>
      <c r="G99" s="26"/>
      <c r="H99" s="26"/>
      <c r="I99" s="26" t="s">
        <v>1053</v>
      </c>
      <c r="J99" s="26" t="s">
        <v>2118</v>
      </c>
      <c r="K99" s="26" t="s">
        <v>2183</v>
      </c>
      <c r="L99" s="26"/>
    </row>
    <row r="100" spans="2:12">
      <c r="B100" s="8">
        <v>95</v>
      </c>
      <c r="C100" s="26" t="s">
        <v>2244</v>
      </c>
      <c r="D100" s="26" t="s">
        <v>2245</v>
      </c>
      <c r="E100" s="26"/>
      <c r="F100" s="26"/>
      <c r="G100" s="26"/>
      <c r="H100" s="26"/>
      <c r="I100" s="26" t="s">
        <v>1053</v>
      </c>
      <c r="J100" s="26" t="s">
        <v>2118</v>
      </c>
      <c r="K100" s="26" t="s">
        <v>2183</v>
      </c>
      <c r="L100" s="26"/>
    </row>
    <row r="101" spans="2:12">
      <c r="B101" s="8">
        <v>96</v>
      </c>
      <c r="C101" s="26" t="s">
        <v>2246</v>
      </c>
      <c r="D101" s="26" t="s">
        <v>2247</v>
      </c>
      <c r="E101" s="26"/>
      <c r="F101" s="26"/>
      <c r="G101" s="26"/>
      <c r="H101" s="26"/>
      <c r="I101" s="26" t="s">
        <v>1053</v>
      </c>
      <c r="J101" s="26" t="s">
        <v>2118</v>
      </c>
      <c r="K101" s="26" t="s">
        <v>2183</v>
      </c>
      <c r="L101" s="26"/>
    </row>
    <row r="102" spans="2:12">
      <c r="B102" s="8">
        <v>97</v>
      </c>
      <c r="C102" s="26" t="s">
        <v>2248</v>
      </c>
      <c r="D102" s="26" t="s">
        <v>2249</v>
      </c>
      <c r="E102" s="26"/>
      <c r="F102" s="26"/>
      <c r="G102" s="26"/>
      <c r="H102" s="26"/>
      <c r="I102" s="26" t="s">
        <v>1053</v>
      </c>
      <c r="J102" s="26" t="s">
        <v>2118</v>
      </c>
      <c r="K102" s="26" t="s">
        <v>2183</v>
      </c>
      <c r="L102" s="26"/>
    </row>
    <row r="103" spans="2:12">
      <c r="B103" s="8">
        <v>98</v>
      </c>
      <c r="C103" s="26" t="s">
        <v>2250</v>
      </c>
      <c r="D103" s="26" t="s">
        <v>2251</v>
      </c>
      <c r="E103" s="26"/>
      <c r="F103" s="26"/>
      <c r="G103" s="26"/>
      <c r="H103" s="26"/>
      <c r="I103" s="26" t="s">
        <v>1053</v>
      </c>
      <c r="J103" s="26" t="s">
        <v>2118</v>
      </c>
      <c r="K103" s="26" t="s">
        <v>2183</v>
      </c>
      <c r="L103" s="26"/>
    </row>
    <row r="104" spans="2:12">
      <c r="B104" s="8">
        <v>99</v>
      </c>
      <c r="C104" s="26" t="s">
        <v>2252</v>
      </c>
      <c r="D104" s="26" t="s">
        <v>2253</v>
      </c>
      <c r="E104" s="26"/>
      <c r="F104" s="26"/>
      <c r="G104" s="26"/>
      <c r="H104" s="26"/>
      <c r="I104" s="26" t="s">
        <v>1053</v>
      </c>
      <c r="J104" s="26" t="s">
        <v>2118</v>
      </c>
      <c r="K104" s="26" t="s">
        <v>2183</v>
      </c>
      <c r="L104" s="26"/>
    </row>
    <row r="105" spans="2:12">
      <c r="B105" s="8">
        <v>100</v>
      </c>
      <c r="C105" s="26" t="s">
        <v>2254</v>
      </c>
      <c r="D105" s="26" t="s">
        <v>2255</v>
      </c>
      <c r="E105" s="26"/>
      <c r="F105" s="26"/>
      <c r="G105" s="26"/>
      <c r="H105" s="26"/>
      <c r="I105" s="26" t="s">
        <v>1053</v>
      </c>
      <c r="J105" s="26" t="s">
        <v>2118</v>
      </c>
      <c r="K105" s="26" t="s">
        <v>2183</v>
      </c>
      <c r="L105" s="26"/>
    </row>
    <row r="106" spans="2:12">
      <c r="B106" s="8">
        <v>101</v>
      </c>
      <c r="C106" s="26" t="s">
        <v>2256</v>
      </c>
      <c r="D106" s="26" t="s">
        <v>2257</v>
      </c>
      <c r="E106" s="26"/>
      <c r="F106" s="26"/>
      <c r="G106" s="26"/>
      <c r="H106" s="26"/>
      <c r="I106" s="26" t="s">
        <v>1053</v>
      </c>
      <c r="J106" s="26" t="s">
        <v>2118</v>
      </c>
      <c r="K106" s="26" t="s">
        <v>2183</v>
      </c>
      <c r="L106" s="26"/>
    </row>
    <row r="107" spans="2:12">
      <c r="B107" s="8">
        <v>102</v>
      </c>
      <c r="C107" s="26" t="s">
        <v>2258</v>
      </c>
      <c r="D107" s="26" t="s">
        <v>2259</v>
      </c>
      <c r="E107" s="26"/>
      <c r="F107" s="26"/>
      <c r="G107" s="26"/>
      <c r="H107" s="26"/>
      <c r="I107" s="26" t="s">
        <v>1053</v>
      </c>
      <c r="J107" s="26" t="s">
        <v>2118</v>
      </c>
      <c r="K107" s="26" t="s">
        <v>2183</v>
      </c>
      <c r="L107" s="26"/>
    </row>
    <row r="108" spans="2:12">
      <c r="B108" s="8">
        <v>103</v>
      </c>
      <c r="C108" s="26" t="s">
        <v>2260</v>
      </c>
      <c r="D108" s="26" t="s">
        <v>2261</v>
      </c>
      <c r="E108" s="26"/>
      <c r="F108" s="26"/>
      <c r="G108" s="26"/>
      <c r="H108" s="26"/>
      <c r="I108" s="26" t="s">
        <v>1053</v>
      </c>
      <c r="J108" s="26" t="s">
        <v>2118</v>
      </c>
      <c r="K108" s="26" t="s">
        <v>2183</v>
      </c>
      <c r="L108" s="26"/>
    </row>
    <row r="109" spans="2:12">
      <c r="B109" s="8">
        <v>104</v>
      </c>
      <c r="C109" s="26" t="s">
        <v>2262</v>
      </c>
      <c r="D109" s="26" t="s">
        <v>2263</v>
      </c>
      <c r="E109" s="26"/>
      <c r="F109" s="26"/>
      <c r="G109" s="26"/>
      <c r="H109" s="26"/>
      <c r="I109" s="26" t="s">
        <v>1053</v>
      </c>
      <c r="J109" s="26" t="s">
        <v>2118</v>
      </c>
      <c r="K109" s="26" t="s">
        <v>2183</v>
      </c>
      <c r="L109" s="26"/>
    </row>
    <row r="110" spans="2:12">
      <c r="B110" s="8">
        <v>105</v>
      </c>
      <c r="C110" s="26" t="s">
        <v>2264</v>
      </c>
      <c r="D110" s="26" t="s">
        <v>2265</v>
      </c>
      <c r="E110" s="26"/>
      <c r="F110" s="26"/>
      <c r="G110" s="26"/>
      <c r="H110" s="26"/>
      <c r="I110" s="26" t="s">
        <v>1053</v>
      </c>
      <c r="J110" s="26" t="s">
        <v>2118</v>
      </c>
      <c r="K110" s="26" t="s">
        <v>2183</v>
      </c>
      <c r="L110" s="26"/>
    </row>
    <row r="111" spans="2:12">
      <c r="B111" s="8">
        <v>106</v>
      </c>
      <c r="C111" s="26" t="s">
        <v>2266</v>
      </c>
      <c r="D111" s="26" t="s">
        <v>2267</v>
      </c>
      <c r="E111" s="26"/>
      <c r="F111" s="26"/>
      <c r="G111" s="26"/>
      <c r="H111" s="26"/>
      <c r="I111" s="26" t="s">
        <v>1053</v>
      </c>
      <c r="J111" s="26" t="s">
        <v>2118</v>
      </c>
      <c r="K111" s="26" t="s">
        <v>2183</v>
      </c>
      <c r="L111" s="26"/>
    </row>
    <row r="112" spans="2:12">
      <c r="B112" s="8">
        <v>107</v>
      </c>
      <c r="C112" s="26" t="s">
        <v>2268</v>
      </c>
      <c r="D112" s="26" t="s">
        <v>2269</v>
      </c>
      <c r="E112" s="26"/>
      <c r="F112" s="26"/>
      <c r="G112" s="26"/>
      <c r="H112" s="26"/>
      <c r="I112" s="26" t="s">
        <v>1053</v>
      </c>
      <c r="J112" s="26" t="s">
        <v>2118</v>
      </c>
      <c r="K112" s="26" t="s">
        <v>2183</v>
      </c>
      <c r="L112" s="26"/>
    </row>
    <row r="113" spans="2:12">
      <c r="B113" s="8">
        <v>108</v>
      </c>
      <c r="C113" s="26" t="s">
        <v>2270</v>
      </c>
      <c r="D113" s="26" t="s">
        <v>2271</v>
      </c>
      <c r="E113" s="26"/>
      <c r="F113" s="26"/>
      <c r="G113" s="26"/>
      <c r="H113" s="26"/>
      <c r="I113" s="26" t="s">
        <v>1053</v>
      </c>
      <c r="J113" s="26" t="s">
        <v>2118</v>
      </c>
      <c r="K113" s="26" t="s">
        <v>2183</v>
      </c>
      <c r="L113" s="26"/>
    </row>
    <row r="114" spans="2:12">
      <c r="B114" s="8">
        <v>109</v>
      </c>
      <c r="C114" s="26" t="s">
        <v>2272</v>
      </c>
      <c r="D114" s="26" t="s">
        <v>2273</v>
      </c>
      <c r="E114" s="26"/>
      <c r="F114" s="26"/>
      <c r="G114" s="26"/>
      <c r="H114" s="26"/>
      <c r="I114" s="26" t="s">
        <v>1053</v>
      </c>
      <c r="J114" s="26" t="s">
        <v>2118</v>
      </c>
      <c r="K114" s="26" t="s">
        <v>2183</v>
      </c>
      <c r="L114" s="26"/>
    </row>
    <row r="115" spans="2:12">
      <c r="B115" s="8">
        <v>110</v>
      </c>
      <c r="C115" s="26" t="s">
        <v>2274</v>
      </c>
      <c r="D115" s="26" t="s">
        <v>2275</v>
      </c>
      <c r="E115" s="26"/>
      <c r="F115" s="26"/>
      <c r="G115" s="26"/>
      <c r="H115" s="26"/>
      <c r="I115" s="26" t="s">
        <v>1053</v>
      </c>
      <c r="J115" s="26" t="s">
        <v>2118</v>
      </c>
      <c r="K115" s="26" t="s">
        <v>2183</v>
      </c>
      <c r="L115" s="26"/>
    </row>
    <row r="116" spans="2:12">
      <c r="B116" s="8">
        <v>111</v>
      </c>
      <c r="C116" s="26" t="s">
        <v>2276</v>
      </c>
      <c r="D116" s="26" t="s">
        <v>2277</v>
      </c>
      <c r="E116" s="26"/>
      <c r="F116" s="26"/>
      <c r="G116" s="26"/>
      <c r="H116" s="26"/>
      <c r="I116" s="26" t="s">
        <v>1053</v>
      </c>
      <c r="J116" s="26" t="s">
        <v>2118</v>
      </c>
      <c r="K116" s="26" t="s">
        <v>2183</v>
      </c>
      <c r="L116" s="26"/>
    </row>
    <row r="117" spans="2:12">
      <c r="B117" s="8">
        <v>112</v>
      </c>
      <c r="C117" s="26" t="s">
        <v>2278</v>
      </c>
      <c r="D117" s="26" t="s">
        <v>2279</v>
      </c>
      <c r="E117" s="26"/>
      <c r="F117" s="26"/>
      <c r="G117" s="26"/>
      <c r="H117" s="26"/>
      <c r="I117" s="26" t="s">
        <v>1053</v>
      </c>
      <c r="J117" s="26" t="s">
        <v>2118</v>
      </c>
      <c r="K117" s="26" t="s">
        <v>2183</v>
      </c>
      <c r="L117" s="26"/>
    </row>
    <row r="118" spans="2:12">
      <c r="B118" s="8">
        <v>113</v>
      </c>
      <c r="C118" s="26" t="s">
        <v>2280</v>
      </c>
      <c r="D118" s="26" t="s">
        <v>2281</v>
      </c>
      <c r="E118" s="26"/>
      <c r="F118" s="26"/>
      <c r="G118" s="26"/>
      <c r="H118" s="26"/>
      <c r="I118" s="26" t="s">
        <v>1053</v>
      </c>
      <c r="J118" s="26" t="s">
        <v>2118</v>
      </c>
      <c r="K118" s="26" t="s">
        <v>2183</v>
      </c>
      <c r="L118" s="26"/>
    </row>
    <row r="119" spans="2:12">
      <c r="B119" s="8">
        <v>114</v>
      </c>
      <c r="C119" s="26" t="s">
        <v>2282</v>
      </c>
      <c r="D119" s="26" t="s">
        <v>2283</v>
      </c>
      <c r="E119" s="26"/>
      <c r="F119" s="26"/>
      <c r="G119" s="26"/>
      <c r="H119" s="26"/>
      <c r="I119" s="26" t="s">
        <v>1053</v>
      </c>
      <c r="J119" s="26" t="s">
        <v>2118</v>
      </c>
      <c r="K119" s="26" t="s">
        <v>2183</v>
      </c>
      <c r="L119" s="26"/>
    </row>
    <row r="120" spans="2:12">
      <c r="B120" s="8">
        <v>115</v>
      </c>
      <c r="C120" s="26" t="s">
        <v>2284</v>
      </c>
      <c r="D120" s="26" t="s">
        <v>2285</v>
      </c>
      <c r="E120" s="26"/>
      <c r="F120" s="26"/>
      <c r="G120" s="26"/>
      <c r="H120" s="26"/>
      <c r="I120" s="26" t="s">
        <v>1053</v>
      </c>
      <c r="J120" s="26" t="s">
        <v>2118</v>
      </c>
      <c r="K120" s="26" t="s">
        <v>2183</v>
      </c>
      <c r="L120" s="26"/>
    </row>
    <row r="121" spans="2:12">
      <c r="B121" s="8">
        <v>116</v>
      </c>
      <c r="C121" s="26" t="s">
        <v>2286</v>
      </c>
      <c r="D121" s="26" t="s">
        <v>2287</v>
      </c>
      <c r="E121" s="26"/>
      <c r="F121" s="26"/>
      <c r="G121" s="26"/>
      <c r="H121" s="26"/>
      <c r="I121" s="26" t="s">
        <v>1053</v>
      </c>
      <c r="J121" s="26" t="s">
        <v>2118</v>
      </c>
      <c r="K121" s="26" t="s">
        <v>2183</v>
      </c>
      <c r="L121" s="26"/>
    </row>
    <row r="122" spans="2:12">
      <c r="B122" s="8">
        <v>117</v>
      </c>
      <c r="C122" s="26" t="s">
        <v>2288</v>
      </c>
      <c r="D122" s="26" t="s">
        <v>2289</v>
      </c>
      <c r="E122" s="26"/>
      <c r="F122" s="26"/>
      <c r="G122" s="26"/>
      <c r="H122" s="26"/>
      <c r="I122" s="26" t="s">
        <v>1053</v>
      </c>
      <c r="J122" s="26" t="s">
        <v>2118</v>
      </c>
      <c r="K122" s="26" t="s">
        <v>2183</v>
      </c>
      <c r="L122" s="26"/>
    </row>
    <row r="123" spans="2:12">
      <c r="B123" s="8">
        <v>118</v>
      </c>
      <c r="C123" s="26" t="s">
        <v>2290</v>
      </c>
      <c r="D123" s="26" t="s">
        <v>2291</v>
      </c>
      <c r="E123" s="26"/>
      <c r="F123" s="26"/>
      <c r="G123" s="26"/>
      <c r="H123" s="26"/>
      <c r="I123" s="26" t="s">
        <v>1053</v>
      </c>
      <c r="J123" s="26" t="s">
        <v>2118</v>
      </c>
      <c r="K123" s="26" t="s">
        <v>2183</v>
      </c>
      <c r="L123" s="26"/>
    </row>
    <row r="124" spans="2:12">
      <c r="B124" s="8">
        <v>119</v>
      </c>
      <c r="C124" s="26" t="s">
        <v>2292</v>
      </c>
      <c r="D124" s="26" t="s">
        <v>2293</v>
      </c>
      <c r="E124" s="26"/>
      <c r="F124" s="26"/>
      <c r="G124" s="26"/>
      <c r="H124" s="26"/>
      <c r="I124" s="26" t="s">
        <v>1053</v>
      </c>
      <c r="J124" s="26" t="s">
        <v>2118</v>
      </c>
      <c r="K124" s="26" t="s">
        <v>2183</v>
      </c>
      <c r="L124" s="26"/>
    </row>
    <row r="125" spans="2:12">
      <c r="B125" s="8">
        <v>120</v>
      </c>
      <c r="C125" s="26" t="s">
        <v>2294</v>
      </c>
      <c r="D125" s="26" t="s">
        <v>2295</v>
      </c>
      <c r="E125" s="26"/>
      <c r="F125" s="26"/>
      <c r="G125" s="26"/>
      <c r="H125" s="26"/>
      <c r="I125" s="26" t="s">
        <v>1053</v>
      </c>
      <c r="J125" s="26" t="s">
        <v>2118</v>
      </c>
      <c r="K125" s="26" t="s">
        <v>2183</v>
      </c>
      <c r="L125" s="26"/>
    </row>
    <row r="126" spans="2:12">
      <c r="B126" s="8">
        <v>121</v>
      </c>
      <c r="C126" s="26" t="s">
        <v>2296</v>
      </c>
      <c r="D126" s="26" t="s">
        <v>2297</v>
      </c>
      <c r="E126" s="26"/>
      <c r="F126" s="26"/>
      <c r="G126" s="26"/>
      <c r="H126" s="26"/>
      <c r="I126" s="26" t="s">
        <v>1053</v>
      </c>
      <c r="J126" s="26" t="s">
        <v>2118</v>
      </c>
      <c r="K126" s="26" t="s">
        <v>2183</v>
      </c>
      <c r="L126" s="26"/>
    </row>
    <row r="127" spans="2:12">
      <c r="B127" s="8">
        <v>122</v>
      </c>
      <c r="C127" s="26" t="s">
        <v>2298</v>
      </c>
      <c r="D127" s="26" t="s">
        <v>2299</v>
      </c>
      <c r="E127" s="26"/>
      <c r="F127" s="26"/>
      <c r="G127" s="26"/>
      <c r="H127" s="26"/>
      <c r="I127" s="26" t="s">
        <v>1053</v>
      </c>
      <c r="J127" s="26" t="s">
        <v>2118</v>
      </c>
      <c r="K127" s="26" t="s">
        <v>2183</v>
      </c>
      <c r="L127" s="26"/>
    </row>
    <row r="128" spans="2:12">
      <c r="B128" s="8">
        <v>123</v>
      </c>
      <c r="C128" s="26" t="s">
        <v>2300</v>
      </c>
      <c r="D128" s="26" t="s">
        <v>2301</v>
      </c>
      <c r="E128" s="26"/>
      <c r="F128" s="26"/>
      <c r="G128" s="26"/>
      <c r="H128" s="26"/>
      <c r="I128" s="26" t="s">
        <v>1053</v>
      </c>
      <c r="J128" s="26" t="s">
        <v>2118</v>
      </c>
      <c r="K128" s="26" t="s">
        <v>2183</v>
      </c>
      <c r="L128" s="26"/>
    </row>
    <row r="129" spans="2:12">
      <c r="B129" s="8">
        <v>124</v>
      </c>
      <c r="C129" s="26" t="s">
        <v>2302</v>
      </c>
      <c r="D129" s="26" t="s">
        <v>2303</v>
      </c>
      <c r="E129" s="26"/>
      <c r="F129" s="26"/>
      <c r="G129" s="26"/>
      <c r="H129" s="26"/>
      <c r="I129" s="26" t="s">
        <v>1053</v>
      </c>
      <c r="J129" s="26" t="s">
        <v>2118</v>
      </c>
      <c r="K129" s="26" t="s">
        <v>2183</v>
      </c>
      <c r="L129" s="26"/>
    </row>
    <row r="130" spans="2:12">
      <c r="B130" s="8">
        <v>125</v>
      </c>
      <c r="C130" s="26" t="s">
        <v>2304</v>
      </c>
      <c r="D130" s="26" t="s">
        <v>2305</v>
      </c>
      <c r="E130" s="26"/>
      <c r="F130" s="26"/>
      <c r="G130" s="26"/>
      <c r="H130" s="26"/>
      <c r="I130" s="26" t="s">
        <v>1053</v>
      </c>
      <c r="J130" s="26" t="s">
        <v>2118</v>
      </c>
      <c r="K130" s="26" t="s">
        <v>2183</v>
      </c>
      <c r="L130" s="26"/>
    </row>
    <row r="131" spans="2:12">
      <c r="B131" s="8">
        <v>126</v>
      </c>
      <c r="C131" s="26" t="s">
        <v>2306</v>
      </c>
      <c r="D131" s="26" t="s">
        <v>2307</v>
      </c>
      <c r="E131" s="26"/>
      <c r="F131" s="26"/>
      <c r="G131" s="26"/>
      <c r="H131" s="26"/>
      <c r="I131" s="26" t="s">
        <v>1053</v>
      </c>
      <c r="J131" s="26" t="s">
        <v>2118</v>
      </c>
      <c r="K131" s="26" t="s">
        <v>2183</v>
      </c>
      <c r="L131" s="26"/>
    </row>
    <row r="132" spans="2:12">
      <c r="B132" s="8">
        <v>127</v>
      </c>
      <c r="C132" s="26" t="s">
        <v>2308</v>
      </c>
      <c r="D132" s="26" t="s">
        <v>2309</v>
      </c>
      <c r="E132" s="26"/>
      <c r="F132" s="26"/>
      <c r="G132" s="26"/>
      <c r="H132" s="26"/>
      <c r="I132" s="26" t="s">
        <v>1053</v>
      </c>
      <c r="J132" s="26" t="s">
        <v>2118</v>
      </c>
      <c r="K132" s="26" t="s">
        <v>2183</v>
      </c>
      <c r="L132" s="26"/>
    </row>
    <row r="133" spans="2:12">
      <c r="B133" s="8">
        <v>128</v>
      </c>
      <c r="C133" s="26" t="s">
        <v>2310</v>
      </c>
      <c r="D133" s="26" t="s">
        <v>2311</v>
      </c>
      <c r="E133" s="26"/>
      <c r="F133" s="26"/>
      <c r="G133" s="26"/>
      <c r="H133" s="26"/>
      <c r="I133" s="26" t="s">
        <v>1053</v>
      </c>
      <c r="J133" s="26" t="s">
        <v>2118</v>
      </c>
      <c r="K133" s="26" t="s">
        <v>2183</v>
      </c>
      <c r="L133" s="26"/>
    </row>
    <row r="134" spans="2:12">
      <c r="B134" s="8">
        <v>129</v>
      </c>
      <c r="C134" s="26" t="s">
        <v>2312</v>
      </c>
      <c r="D134" s="26" t="s">
        <v>2313</v>
      </c>
      <c r="E134" s="26"/>
      <c r="F134" s="26"/>
      <c r="G134" s="26"/>
      <c r="H134" s="26"/>
      <c r="I134" s="26" t="s">
        <v>1053</v>
      </c>
      <c r="J134" s="26" t="s">
        <v>2118</v>
      </c>
      <c r="K134" s="26" t="s">
        <v>2183</v>
      </c>
      <c r="L134" s="26"/>
    </row>
    <row r="135" spans="2:12">
      <c r="B135" s="8">
        <v>130</v>
      </c>
      <c r="C135" s="26" t="s">
        <v>2314</v>
      </c>
      <c r="D135" s="26" t="s">
        <v>2315</v>
      </c>
      <c r="E135" s="26"/>
      <c r="F135" s="26"/>
      <c r="G135" s="26"/>
      <c r="H135" s="26"/>
      <c r="I135" s="26" t="s">
        <v>1053</v>
      </c>
      <c r="J135" s="26" t="s">
        <v>2118</v>
      </c>
      <c r="K135" s="26" t="s">
        <v>2183</v>
      </c>
      <c r="L135" s="26"/>
    </row>
    <row r="136" spans="2:12">
      <c r="B136" s="8">
        <v>131</v>
      </c>
      <c r="C136" s="26" t="s">
        <v>2316</v>
      </c>
      <c r="D136" s="26" t="s">
        <v>2317</v>
      </c>
      <c r="E136" s="26"/>
      <c r="F136" s="26"/>
      <c r="G136" s="26"/>
      <c r="H136" s="26"/>
      <c r="I136" s="26" t="s">
        <v>1053</v>
      </c>
      <c r="J136" s="26" t="s">
        <v>2118</v>
      </c>
      <c r="K136" s="26" t="s">
        <v>2183</v>
      </c>
      <c r="L136" s="26"/>
    </row>
    <row r="137" spans="2:12">
      <c r="B137" s="8">
        <v>132</v>
      </c>
      <c r="C137" s="26" t="s">
        <v>2318</v>
      </c>
      <c r="D137" s="26" t="s">
        <v>2319</v>
      </c>
      <c r="E137" s="26"/>
      <c r="F137" s="26"/>
      <c r="G137" s="26"/>
      <c r="H137" s="26"/>
      <c r="I137" s="26" t="s">
        <v>1053</v>
      </c>
      <c r="J137" s="26" t="s">
        <v>2118</v>
      </c>
      <c r="K137" s="26" t="s">
        <v>2183</v>
      </c>
      <c r="L137" s="26"/>
    </row>
    <row r="138" spans="2:12">
      <c r="B138" s="8">
        <v>133</v>
      </c>
      <c r="C138" s="26" t="s">
        <v>2320</v>
      </c>
      <c r="D138" s="26" t="s">
        <v>2321</v>
      </c>
      <c r="E138" s="26"/>
      <c r="F138" s="26"/>
      <c r="G138" s="26"/>
      <c r="H138" s="26"/>
      <c r="I138" s="26" t="s">
        <v>1053</v>
      </c>
      <c r="J138" s="26" t="s">
        <v>2118</v>
      </c>
      <c r="K138" s="26" t="s">
        <v>2183</v>
      </c>
      <c r="L138" s="26"/>
    </row>
    <row r="139" spans="2:12">
      <c r="B139" s="8">
        <v>134</v>
      </c>
      <c r="C139" s="26" t="s">
        <v>2322</v>
      </c>
      <c r="D139" s="26" t="s">
        <v>2323</v>
      </c>
      <c r="E139" s="26"/>
      <c r="F139" s="26"/>
      <c r="G139" s="26"/>
      <c r="H139" s="26"/>
      <c r="I139" s="26" t="s">
        <v>1053</v>
      </c>
      <c r="J139" s="26" t="s">
        <v>2118</v>
      </c>
      <c r="K139" s="26" t="s">
        <v>2183</v>
      </c>
      <c r="L139" s="26"/>
    </row>
    <row r="140" spans="2:12">
      <c r="B140" s="8">
        <v>135</v>
      </c>
      <c r="C140" s="26" t="s">
        <v>2324</v>
      </c>
      <c r="D140" s="26" t="s">
        <v>2325</v>
      </c>
      <c r="E140" s="26"/>
      <c r="F140" s="26"/>
      <c r="G140" s="26"/>
      <c r="H140" s="26"/>
      <c r="I140" s="26" t="s">
        <v>1053</v>
      </c>
      <c r="J140" s="26" t="s">
        <v>2118</v>
      </c>
      <c r="K140" s="26" t="s">
        <v>2183</v>
      </c>
      <c r="L140" s="26"/>
    </row>
    <row r="141" spans="2:12">
      <c r="B141" s="8">
        <v>136</v>
      </c>
      <c r="C141" s="26" t="s">
        <v>2326</v>
      </c>
      <c r="D141" s="26" t="s">
        <v>2327</v>
      </c>
      <c r="E141" s="26"/>
      <c r="F141" s="26"/>
      <c r="G141" s="26"/>
      <c r="H141" s="26"/>
      <c r="I141" s="26" t="s">
        <v>1053</v>
      </c>
      <c r="J141" s="26" t="s">
        <v>2118</v>
      </c>
      <c r="K141" s="26" t="s">
        <v>2183</v>
      </c>
      <c r="L141" s="26"/>
    </row>
    <row r="142" spans="2:12">
      <c r="B142" s="8">
        <v>137</v>
      </c>
      <c r="C142" s="26" t="s">
        <v>2328</v>
      </c>
      <c r="D142" s="26" t="s">
        <v>2329</v>
      </c>
      <c r="E142" s="26"/>
      <c r="F142" s="26"/>
      <c r="G142" s="26"/>
      <c r="H142" s="26"/>
      <c r="I142" s="26" t="s">
        <v>1053</v>
      </c>
      <c r="J142" s="26" t="s">
        <v>2118</v>
      </c>
      <c r="K142" s="26" t="s">
        <v>2183</v>
      </c>
      <c r="L142" s="26"/>
    </row>
    <row r="143" spans="2:12">
      <c r="B143" s="8">
        <v>138</v>
      </c>
      <c r="C143" s="26" t="s">
        <v>2330</v>
      </c>
      <c r="D143" s="26" t="s">
        <v>2331</v>
      </c>
      <c r="E143" s="26"/>
      <c r="F143" s="26"/>
      <c r="G143" s="26"/>
      <c r="H143" s="26"/>
      <c r="I143" s="26" t="s">
        <v>1053</v>
      </c>
      <c r="J143" s="26" t="s">
        <v>2118</v>
      </c>
      <c r="K143" s="26" t="s">
        <v>2183</v>
      </c>
      <c r="L143" s="26"/>
    </row>
    <row r="144" spans="2:12">
      <c r="B144" s="8">
        <v>139</v>
      </c>
      <c r="C144" s="26" t="s">
        <v>2332</v>
      </c>
      <c r="D144" s="26" t="s">
        <v>2333</v>
      </c>
      <c r="E144" s="26"/>
      <c r="F144" s="26"/>
      <c r="G144" s="26"/>
      <c r="H144" s="26"/>
      <c r="I144" s="26" t="s">
        <v>1053</v>
      </c>
      <c r="J144" s="26" t="s">
        <v>2118</v>
      </c>
      <c r="K144" s="26" t="s">
        <v>2183</v>
      </c>
      <c r="L144" s="26"/>
    </row>
    <row r="145" spans="2:12">
      <c r="B145" s="8">
        <v>140</v>
      </c>
      <c r="C145" s="26" t="s">
        <v>2334</v>
      </c>
      <c r="D145" s="26" t="s">
        <v>2335</v>
      </c>
      <c r="E145" s="26"/>
      <c r="F145" s="26"/>
      <c r="G145" s="26"/>
      <c r="H145" s="26"/>
      <c r="I145" s="26" t="s">
        <v>1053</v>
      </c>
      <c r="J145" s="26" t="s">
        <v>2118</v>
      </c>
      <c r="K145" s="26" t="s">
        <v>2183</v>
      </c>
      <c r="L145" s="26"/>
    </row>
    <row r="146" spans="2:12">
      <c r="B146" s="8">
        <v>141</v>
      </c>
      <c r="C146" s="26" t="s">
        <v>2336</v>
      </c>
      <c r="D146" s="26" t="s">
        <v>2337</v>
      </c>
      <c r="E146" s="26"/>
      <c r="F146" s="26"/>
      <c r="G146" s="26"/>
      <c r="H146" s="26"/>
      <c r="I146" s="26" t="s">
        <v>1053</v>
      </c>
      <c r="J146" s="26" t="s">
        <v>2118</v>
      </c>
      <c r="K146" s="26" t="s">
        <v>2183</v>
      </c>
      <c r="L146" s="26"/>
    </row>
    <row r="147" spans="2:12">
      <c r="B147" s="8">
        <v>142</v>
      </c>
      <c r="C147" s="26" t="s">
        <v>2338</v>
      </c>
      <c r="D147" s="26" t="s">
        <v>2339</v>
      </c>
      <c r="E147" s="26"/>
      <c r="F147" s="26"/>
      <c r="G147" s="26"/>
      <c r="H147" s="26"/>
      <c r="I147" s="26" t="s">
        <v>1053</v>
      </c>
      <c r="J147" s="26" t="s">
        <v>2118</v>
      </c>
      <c r="K147" s="26" t="s">
        <v>2183</v>
      </c>
      <c r="L147" s="26"/>
    </row>
    <row r="148" spans="2:12">
      <c r="B148" s="8">
        <v>143</v>
      </c>
      <c r="C148" s="26" t="s">
        <v>2340</v>
      </c>
      <c r="D148" s="26" t="s">
        <v>2341</v>
      </c>
      <c r="E148" s="26"/>
      <c r="F148" s="26"/>
      <c r="G148" s="26"/>
      <c r="H148" s="26"/>
      <c r="I148" s="26" t="s">
        <v>1053</v>
      </c>
      <c r="J148" s="26" t="s">
        <v>2118</v>
      </c>
      <c r="K148" s="26" t="s">
        <v>2183</v>
      </c>
      <c r="L148" s="26"/>
    </row>
    <row r="149" spans="2:12">
      <c r="B149" s="8">
        <v>144</v>
      </c>
      <c r="C149" s="26" t="s">
        <v>2342</v>
      </c>
      <c r="D149" s="26" t="s">
        <v>2343</v>
      </c>
      <c r="E149" s="26"/>
      <c r="F149" s="26"/>
      <c r="G149" s="26"/>
      <c r="H149" s="26"/>
      <c r="I149" s="26" t="s">
        <v>1053</v>
      </c>
      <c r="J149" s="26" t="s">
        <v>2118</v>
      </c>
      <c r="K149" s="26" t="s">
        <v>2183</v>
      </c>
      <c r="L149" s="26"/>
    </row>
    <row r="150" spans="2:12">
      <c r="B150" s="8">
        <v>145</v>
      </c>
      <c r="C150" s="26" t="s">
        <v>2344</v>
      </c>
      <c r="D150" s="26" t="s">
        <v>2345</v>
      </c>
      <c r="E150" s="26"/>
      <c r="F150" s="26"/>
      <c r="G150" s="26"/>
      <c r="H150" s="26"/>
      <c r="I150" s="26" t="s">
        <v>1053</v>
      </c>
      <c r="J150" s="26" t="s">
        <v>2118</v>
      </c>
      <c r="K150" s="26" t="s">
        <v>2183</v>
      </c>
      <c r="L150" s="26"/>
    </row>
    <row r="151" spans="2:12">
      <c r="B151" s="8">
        <v>146</v>
      </c>
      <c r="C151" s="26" t="s">
        <v>2346</v>
      </c>
      <c r="D151" s="26" t="s">
        <v>2347</v>
      </c>
      <c r="E151" s="26"/>
      <c r="F151" s="26"/>
      <c r="G151" s="26"/>
      <c r="H151" s="26"/>
      <c r="I151" s="26" t="s">
        <v>1053</v>
      </c>
      <c r="J151" s="26" t="s">
        <v>2118</v>
      </c>
      <c r="K151" s="26" t="s">
        <v>2183</v>
      </c>
      <c r="L151" s="26"/>
    </row>
    <row r="152" spans="2:12">
      <c r="B152" s="8">
        <v>147</v>
      </c>
      <c r="C152" s="26" t="s">
        <v>2348</v>
      </c>
      <c r="D152" s="26" t="s">
        <v>2349</v>
      </c>
      <c r="E152" s="26"/>
      <c r="F152" s="26"/>
      <c r="G152" s="26"/>
      <c r="H152" s="26"/>
      <c r="I152" s="26" t="s">
        <v>1053</v>
      </c>
      <c r="J152" s="26" t="s">
        <v>2118</v>
      </c>
      <c r="K152" s="26" t="s">
        <v>2183</v>
      </c>
      <c r="L152" s="26"/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45F11761-4383-46AD-AA18-5029261B87BA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B19D9-A2A3-4B91-9F18-AC84F4EE0F64}">
  <sheetPr codeName="Sheet50">
    <tabColor rgb="FF92D050"/>
  </sheetPr>
  <dimension ref="A1:O34"/>
  <sheetViews>
    <sheetView topLeftCell="A11" workbookViewId="0">
      <selection activeCell="D16" sqref="D16"/>
    </sheetView>
  </sheetViews>
  <sheetFormatPr defaultRowHeight="16.5"/>
  <cols>
    <col min="2" max="2" width="6.875" bestFit="1" customWidth="1"/>
    <col min="3" max="3" width="22.5" style="40" bestFit="1" customWidth="1"/>
    <col min="4" max="4" width="24.875" style="40" bestFit="1" customWidth="1"/>
    <col min="5" max="5" width="3.75" style="40" bestFit="1" customWidth="1"/>
    <col min="6" max="6" width="3.5" style="40" bestFit="1" customWidth="1"/>
    <col min="7" max="7" width="23.625" style="40" bestFit="1" customWidth="1"/>
    <col min="8" max="8" width="8.75" style="40" bestFit="1" customWidth="1"/>
    <col min="9" max="9" width="10.875" style="40" bestFit="1" customWidth="1"/>
    <col min="10" max="10" width="7.375" style="40" bestFit="1" customWidth="1"/>
    <col min="11" max="11" width="58.5" style="40" bestFit="1" customWidth="1"/>
    <col min="12" max="12" width="42.75" style="40" bestFit="1" customWidth="1"/>
  </cols>
  <sheetData>
    <row r="1" spans="1:15" ht="20.25">
      <c r="A1" s="4"/>
      <c r="B1" s="258" t="s">
        <v>1492</v>
      </c>
      <c r="D1" s="482" t="s">
        <v>1395</v>
      </c>
      <c r="E1" s="482"/>
      <c r="F1" s="482"/>
      <c r="G1" s="482"/>
      <c r="H1" s="482"/>
      <c r="I1" s="482"/>
      <c r="J1" s="482"/>
      <c r="K1" s="482"/>
      <c r="L1" s="482"/>
    </row>
    <row r="2" spans="1:15">
      <c r="A2" s="510"/>
      <c r="B2" s="510"/>
      <c r="C2" s="181"/>
      <c r="D2" s="181"/>
      <c r="E2" s="181"/>
      <c r="F2" s="181"/>
      <c r="G2" s="181"/>
      <c r="H2" s="181"/>
      <c r="I2" s="181"/>
      <c r="J2" s="181"/>
      <c r="K2" s="181"/>
      <c r="L2" s="182"/>
    </row>
    <row r="3" spans="1:15">
      <c r="A3" s="4"/>
      <c r="B3" s="502" t="s">
        <v>1493</v>
      </c>
      <c r="C3" s="502"/>
      <c r="D3" s="502" t="s">
        <v>1394</v>
      </c>
      <c r="E3" s="502"/>
      <c r="F3" s="502"/>
      <c r="G3" s="502"/>
      <c r="H3" s="502" t="s">
        <v>2350</v>
      </c>
      <c r="I3" s="502"/>
      <c r="J3" s="502"/>
      <c r="K3" s="161"/>
      <c r="L3" s="161"/>
    </row>
    <row r="4" spans="1:15">
      <c r="A4" s="4"/>
      <c r="B4" s="502" t="s">
        <v>1231</v>
      </c>
      <c r="C4" s="502"/>
      <c r="D4" s="501" t="s">
        <v>1373</v>
      </c>
      <c r="E4" s="501"/>
      <c r="F4" s="501"/>
      <c r="G4" s="501"/>
      <c r="H4" s="501"/>
      <c r="I4" s="501"/>
      <c r="J4" s="501"/>
      <c r="K4" s="161"/>
      <c r="L4" s="161"/>
    </row>
    <row r="5" spans="1:15">
      <c r="A5" s="4"/>
      <c r="B5" s="175" t="s">
        <v>1494</v>
      </c>
      <c r="C5" s="175" t="s">
        <v>14</v>
      </c>
      <c r="D5" s="175" t="s">
        <v>15</v>
      </c>
      <c r="E5" s="175" t="s">
        <v>928</v>
      </c>
      <c r="F5" s="175" t="s">
        <v>929</v>
      </c>
      <c r="G5" s="175" t="s">
        <v>930</v>
      </c>
      <c r="H5" s="175" t="s">
        <v>931</v>
      </c>
      <c r="I5" s="175" t="s">
        <v>932</v>
      </c>
      <c r="J5" s="175" t="s">
        <v>933</v>
      </c>
      <c r="K5" s="175" t="s">
        <v>934</v>
      </c>
      <c r="L5" s="175" t="s">
        <v>935</v>
      </c>
    </row>
    <row r="6" spans="1:15">
      <c r="A6" t="s">
        <v>1650</v>
      </c>
      <c r="B6" s="283">
        <v>1</v>
      </c>
      <c r="C6" s="283" t="s">
        <v>1515</v>
      </c>
      <c r="D6" s="284" t="s">
        <v>1546</v>
      </c>
      <c r="E6" s="283" t="s">
        <v>1065</v>
      </c>
      <c r="F6" s="283"/>
      <c r="G6" s="283"/>
      <c r="H6" s="283" t="s">
        <v>1065</v>
      </c>
      <c r="I6" s="283" t="s">
        <v>947</v>
      </c>
      <c r="J6" s="283">
        <v>20</v>
      </c>
      <c r="K6" s="139"/>
      <c r="L6" s="138"/>
    </row>
    <row r="7" spans="1:15">
      <c r="A7" s="4"/>
      <c r="B7" s="161">
        <v>2</v>
      </c>
      <c r="C7" s="161" t="s">
        <v>2057</v>
      </c>
      <c r="D7" s="178" t="s">
        <v>2058</v>
      </c>
      <c r="E7" s="26" t="s">
        <v>1262</v>
      </c>
      <c r="F7" s="161"/>
      <c r="G7" s="161"/>
      <c r="H7" s="26" t="s">
        <v>1065</v>
      </c>
      <c r="I7" s="26" t="s">
        <v>947</v>
      </c>
      <c r="J7" s="26">
        <v>18</v>
      </c>
      <c r="K7" s="165" t="s">
        <v>2059</v>
      </c>
      <c r="L7" s="168" t="s">
        <v>2060</v>
      </c>
      <c r="M7" t="s">
        <v>2061</v>
      </c>
    </row>
    <row r="8" spans="1:15">
      <c r="A8" s="4"/>
      <c r="B8" s="161">
        <v>3</v>
      </c>
      <c r="C8" s="184" t="s">
        <v>46</v>
      </c>
      <c r="D8" s="161" t="s">
        <v>1761</v>
      </c>
      <c r="E8" s="26"/>
      <c r="F8" s="161"/>
      <c r="G8" s="161"/>
      <c r="H8" s="26"/>
      <c r="I8" s="26" t="s">
        <v>947</v>
      </c>
      <c r="J8" s="26">
        <v>13</v>
      </c>
      <c r="K8" s="165" t="s">
        <v>2062</v>
      </c>
      <c r="L8" s="168" t="s">
        <v>2063</v>
      </c>
      <c r="M8" t="s">
        <v>2064</v>
      </c>
    </row>
    <row r="9" spans="1:15">
      <c r="A9" s="4"/>
      <c r="B9" s="161">
        <v>4</v>
      </c>
      <c r="C9" s="161" t="s">
        <v>108</v>
      </c>
      <c r="D9" s="13" t="s">
        <v>1026</v>
      </c>
      <c r="E9" s="26"/>
      <c r="F9" s="161"/>
      <c r="G9" s="161"/>
      <c r="H9" s="26" t="s">
        <v>1065</v>
      </c>
      <c r="I9" s="26" t="s">
        <v>1027</v>
      </c>
      <c r="J9" s="26"/>
      <c r="K9" s="165" t="s">
        <v>2066</v>
      </c>
      <c r="L9" s="168" t="s">
        <v>2067</v>
      </c>
    </row>
    <row r="10" spans="1:15">
      <c r="A10" s="4"/>
      <c r="B10" s="161">
        <v>5</v>
      </c>
      <c r="C10" s="161" t="s">
        <v>104</v>
      </c>
      <c r="D10" s="14" t="s">
        <v>1031</v>
      </c>
      <c r="E10" s="26"/>
      <c r="F10" s="26"/>
      <c r="G10" s="161"/>
      <c r="H10" s="26" t="s">
        <v>1065</v>
      </c>
      <c r="I10" s="26" t="s">
        <v>1027</v>
      </c>
      <c r="J10" s="26"/>
      <c r="K10" s="165" t="s">
        <v>2066</v>
      </c>
      <c r="L10" s="168" t="s">
        <v>2067</v>
      </c>
    </row>
    <row r="11" spans="1:15">
      <c r="A11" s="4"/>
      <c r="B11" s="161">
        <v>6</v>
      </c>
      <c r="C11" s="161" t="s">
        <v>2069</v>
      </c>
      <c r="D11" s="161" t="s">
        <v>280</v>
      </c>
      <c r="E11" s="26"/>
      <c r="F11" s="26"/>
      <c r="G11" s="161"/>
      <c r="H11" s="26" t="s">
        <v>1065</v>
      </c>
      <c r="I11" s="26" t="s">
        <v>947</v>
      </c>
      <c r="J11" s="26">
        <v>20</v>
      </c>
      <c r="K11" s="168"/>
      <c r="L11" s="168" t="s">
        <v>2070</v>
      </c>
    </row>
    <row r="12" spans="1:15">
      <c r="A12" s="4"/>
      <c r="B12" s="161">
        <v>7</v>
      </c>
      <c r="C12" s="184" t="s">
        <v>270</v>
      </c>
      <c r="D12" s="13" t="s">
        <v>2003</v>
      </c>
      <c r="E12" s="305" t="s">
        <v>1065</v>
      </c>
      <c r="F12" s="161"/>
      <c r="G12" s="161"/>
      <c r="H12" s="161" t="s">
        <v>1065</v>
      </c>
      <c r="I12" s="26" t="s">
        <v>947</v>
      </c>
      <c r="J12" s="26">
        <v>4</v>
      </c>
      <c r="K12" s="165" t="s">
        <v>2076</v>
      </c>
      <c r="L12" s="179" t="s">
        <v>2077</v>
      </c>
    </row>
    <row r="13" spans="1:15">
      <c r="A13" s="4"/>
      <c r="B13" s="161">
        <v>8</v>
      </c>
      <c r="C13" s="184" t="s">
        <v>2078</v>
      </c>
      <c r="D13" s="161" t="s">
        <v>2079</v>
      </c>
      <c r="E13" s="161"/>
      <c r="F13" s="161"/>
      <c r="G13" s="161"/>
      <c r="H13" s="161" t="s">
        <v>1065</v>
      </c>
      <c r="I13" s="26" t="s">
        <v>947</v>
      </c>
      <c r="J13" s="26">
        <v>18</v>
      </c>
      <c r="K13" s="165" t="s">
        <v>2059</v>
      </c>
      <c r="L13" s="180" t="s">
        <v>2080</v>
      </c>
    </row>
    <row r="14" spans="1:15">
      <c r="A14" s="4"/>
      <c r="B14" s="161">
        <v>9</v>
      </c>
      <c r="C14" s="184" t="s">
        <v>268</v>
      </c>
      <c r="D14" s="161" t="s">
        <v>269</v>
      </c>
      <c r="E14" s="161"/>
      <c r="F14" s="161"/>
      <c r="G14" s="161"/>
      <c r="H14" s="161"/>
      <c r="I14" s="26" t="s">
        <v>947</v>
      </c>
      <c r="J14" s="26">
        <v>8</v>
      </c>
      <c r="K14" s="165" t="s">
        <v>2081</v>
      </c>
      <c r="L14" s="216" t="s">
        <v>2082</v>
      </c>
    </row>
    <row r="15" spans="1:15">
      <c r="A15" s="4"/>
      <c r="B15" s="161">
        <v>10</v>
      </c>
      <c r="C15" s="184" t="s">
        <v>1850</v>
      </c>
      <c r="D15" s="161" t="s">
        <v>1851</v>
      </c>
      <c r="E15" s="161"/>
      <c r="F15" s="161"/>
      <c r="G15" s="161"/>
      <c r="H15" s="161"/>
      <c r="I15" s="161" t="s">
        <v>947</v>
      </c>
      <c r="J15" s="161">
        <v>120</v>
      </c>
      <c r="K15" s="165"/>
      <c r="L15" s="180" t="s">
        <v>1852</v>
      </c>
    </row>
    <row r="16" spans="1:15">
      <c r="B16" s="161">
        <v>11</v>
      </c>
      <c r="C16" s="26" t="s">
        <v>1853</v>
      </c>
      <c r="D16" s="161" t="s">
        <v>2351</v>
      </c>
      <c r="E16" s="26"/>
      <c r="F16" s="26"/>
      <c r="G16" s="253"/>
      <c r="H16" s="26" t="s">
        <v>1065</v>
      </c>
      <c r="I16" s="161" t="s">
        <v>947</v>
      </c>
      <c r="J16" s="161">
        <v>20</v>
      </c>
      <c r="K16" s="26"/>
      <c r="L16" s="26" t="s">
        <v>2352</v>
      </c>
      <c r="O16" t="s">
        <v>1954</v>
      </c>
    </row>
    <row r="17" spans="2:12">
      <c r="B17" s="161">
        <v>12</v>
      </c>
      <c r="C17" s="26" t="s">
        <v>1769</v>
      </c>
      <c r="D17" s="26" t="s">
        <v>1810</v>
      </c>
      <c r="E17" s="26"/>
      <c r="F17" s="26"/>
      <c r="G17" s="253" t="s">
        <v>2353</v>
      </c>
      <c r="H17" s="26" t="s">
        <v>1065</v>
      </c>
      <c r="I17" s="26" t="s">
        <v>947</v>
      </c>
      <c r="J17" s="26">
        <v>10</v>
      </c>
      <c r="K17" s="26" t="s">
        <v>2086</v>
      </c>
      <c r="L17" s="26" t="s">
        <v>2087</v>
      </c>
    </row>
    <row r="18" spans="2:12">
      <c r="B18" s="161">
        <v>13</v>
      </c>
      <c r="C18" s="26" t="s">
        <v>2088</v>
      </c>
      <c r="D18" s="26" t="s">
        <v>2089</v>
      </c>
      <c r="E18" s="26"/>
      <c r="F18" s="26"/>
      <c r="G18" s="253" t="s">
        <v>2354</v>
      </c>
      <c r="H18" s="26" t="s">
        <v>1065</v>
      </c>
      <c r="I18" s="26" t="s">
        <v>947</v>
      </c>
      <c r="J18" s="26">
        <v>100</v>
      </c>
      <c r="K18" s="26"/>
      <c r="L18" s="26" t="s">
        <v>2091</v>
      </c>
    </row>
    <row r="19" spans="2:12">
      <c r="B19" s="161">
        <v>14</v>
      </c>
      <c r="C19" s="26" t="s">
        <v>2105</v>
      </c>
      <c r="D19" s="111" t="s">
        <v>1951</v>
      </c>
      <c r="E19" s="26"/>
      <c r="F19" s="26"/>
      <c r="G19" s="253" t="s">
        <v>1886</v>
      </c>
      <c r="H19" s="26"/>
      <c r="I19" s="26" t="s">
        <v>947</v>
      </c>
      <c r="J19" s="26">
        <v>6</v>
      </c>
      <c r="K19" s="26" t="s">
        <v>2106</v>
      </c>
      <c r="L19" s="26" t="s">
        <v>2107</v>
      </c>
    </row>
    <row r="20" spans="2:12">
      <c r="B20" s="161">
        <v>15</v>
      </c>
      <c r="C20" s="26" t="s">
        <v>1765</v>
      </c>
      <c r="D20" s="111" t="s">
        <v>2108</v>
      </c>
      <c r="E20" s="26"/>
      <c r="F20" s="26"/>
      <c r="G20" s="253" t="s">
        <v>1886</v>
      </c>
      <c r="H20" s="26" t="s">
        <v>1065</v>
      </c>
      <c r="I20" s="26" t="s">
        <v>947</v>
      </c>
      <c r="J20" s="26">
        <v>6</v>
      </c>
      <c r="K20" s="26" t="s">
        <v>2106</v>
      </c>
      <c r="L20" s="26" t="s">
        <v>2109</v>
      </c>
    </row>
    <row r="21" spans="2:12">
      <c r="B21" s="161">
        <v>16</v>
      </c>
      <c r="C21" s="26" t="s">
        <v>2355</v>
      </c>
      <c r="D21" s="111" t="s">
        <v>2117</v>
      </c>
      <c r="E21" s="26"/>
      <c r="F21" s="26"/>
      <c r="G21" s="253"/>
      <c r="H21" s="26"/>
      <c r="I21" s="26" t="s">
        <v>1053</v>
      </c>
      <c r="J21" s="26" t="s">
        <v>2118</v>
      </c>
      <c r="K21" s="26" t="s">
        <v>2119</v>
      </c>
      <c r="L21" s="26"/>
    </row>
    <row r="22" spans="2:12">
      <c r="B22" s="161">
        <v>17</v>
      </c>
      <c r="C22" s="26" t="s">
        <v>2120</v>
      </c>
      <c r="D22" s="111" t="s">
        <v>2121</v>
      </c>
      <c r="E22" s="26"/>
      <c r="F22" s="26"/>
      <c r="G22" s="253"/>
      <c r="H22" s="26"/>
      <c r="I22" s="26" t="s">
        <v>1053</v>
      </c>
      <c r="J22" s="26" t="s">
        <v>2118</v>
      </c>
      <c r="K22" s="26" t="s">
        <v>2119</v>
      </c>
      <c r="L22" s="26"/>
    </row>
    <row r="23" spans="2:12">
      <c r="B23" s="161">
        <v>18</v>
      </c>
      <c r="C23" s="26" t="s">
        <v>2122</v>
      </c>
      <c r="D23" s="111" t="s">
        <v>2123</v>
      </c>
      <c r="E23" s="26"/>
      <c r="F23" s="26"/>
      <c r="G23" s="26"/>
      <c r="H23" s="26"/>
      <c r="I23" s="26" t="s">
        <v>1053</v>
      </c>
      <c r="J23" s="26" t="s">
        <v>2118</v>
      </c>
      <c r="K23" s="26" t="s">
        <v>2119</v>
      </c>
      <c r="L23" s="26"/>
    </row>
    <row r="24" spans="2:12">
      <c r="B24" s="161">
        <v>19</v>
      </c>
      <c r="C24" s="26" t="s">
        <v>2124</v>
      </c>
      <c r="D24" s="111" t="s">
        <v>2125</v>
      </c>
      <c r="E24" s="26"/>
      <c r="F24" s="26"/>
      <c r="G24" s="26"/>
      <c r="H24" s="26"/>
      <c r="I24" s="26" t="s">
        <v>1053</v>
      </c>
      <c r="J24" s="26" t="s">
        <v>2118</v>
      </c>
      <c r="K24" s="26" t="s">
        <v>2119</v>
      </c>
      <c r="L24" s="26"/>
    </row>
    <row r="25" spans="2:12">
      <c r="B25" s="161">
        <v>20</v>
      </c>
      <c r="C25" s="26" t="s">
        <v>2126</v>
      </c>
      <c r="D25" s="111" t="s">
        <v>2127</v>
      </c>
      <c r="E25" s="26"/>
      <c r="F25" s="26"/>
      <c r="G25" s="26"/>
      <c r="H25" s="26"/>
      <c r="I25" s="26" t="s">
        <v>1053</v>
      </c>
      <c r="J25" s="26" t="s">
        <v>2118</v>
      </c>
      <c r="K25" s="26" t="s">
        <v>2119</v>
      </c>
      <c r="L25" s="26"/>
    </row>
    <row r="26" spans="2:12">
      <c r="B26" s="161">
        <v>21</v>
      </c>
      <c r="C26" s="26" t="s">
        <v>2129</v>
      </c>
      <c r="D26" s="111" t="s">
        <v>2130</v>
      </c>
      <c r="E26" s="26"/>
      <c r="F26" s="26"/>
      <c r="G26" s="26"/>
      <c r="H26" s="26"/>
      <c r="I26" s="26" t="s">
        <v>1053</v>
      </c>
      <c r="J26" s="26" t="s">
        <v>2118</v>
      </c>
      <c r="K26" s="26" t="s">
        <v>2119</v>
      </c>
      <c r="L26" s="26"/>
    </row>
    <row r="27" spans="2:12">
      <c r="B27" s="161">
        <v>22</v>
      </c>
      <c r="C27" s="26" t="s">
        <v>2131</v>
      </c>
      <c r="D27" s="111" t="s">
        <v>2132</v>
      </c>
      <c r="E27" s="26"/>
      <c r="F27" s="26"/>
      <c r="G27" s="26"/>
      <c r="H27" s="26"/>
      <c r="I27" s="26" t="s">
        <v>1053</v>
      </c>
      <c r="J27" s="26" t="s">
        <v>2118</v>
      </c>
      <c r="K27" s="26" t="s">
        <v>2119</v>
      </c>
      <c r="L27" s="26"/>
    </row>
    <row r="28" spans="2:12">
      <c r="B28" s="161">
        <v>23</v>
      </c>
      <c r="C28" s="26" t="s">
        <v>2133</v>
      </c>
      <c r="D28" s="111" t="s">
        <v>2134</v>
      </c>
      <c r="E28" s="26"/>
      <c r="F28" s="26"/>
      <c r="G28" s="26"/>
      <c r="H28" s="26"/>
      <c r="I28" s="26" t="s">
        <v>1053</v>
      </c>
      <c r="J28" s="26" t="s">
        <v>2118</v>
      </c>
      <c r="K28" s="26" t="s">
        <v>2119</v>
      </c>
      <c r="L28" s="26"/>
    </row>
    <row r="29" spans="2:12">
      <c r="B29" s="161">
        <v>24</v>
      </c>
      <c r="C29" s="26" t="s">
        <v>2135</v>
      </c>
      <c r="D29" s="26" t="s">
        <v>2136</v>
      </c>
      <c r="E29" s="26"/>
      <c r="F29" s="26"/>
      <c r="G29" s="26"/>
      <c r="H29" s="26"/>
      <c r="I29" s="26" t="s">
        <v>1053</v>
      </c>
      <c r="J29" s="26" t="s">
        <v>2118</v>
      </c>
      <c r="K29" s="26" t="s">
        <v>2119</v>
      </c>
      <c r="L29" s="26"/>
    </row>
    <row r="30" spans="2:12">
      <c r="B30" s="161">
        <v>25</v>
      </c>
      <c r="C30" s="26" t="s">
        <v>2137</v>
      </c>
      <c r="D30" s="26" t="s">
        <v>2138</v>
      </c>
      <c r="E30" s="26"/>
      <c r="F30" s="26"/>
      <c r="G30" s="26"/>
      <c r="H30" s="26"/>
      <c r="I30" s="26" t="s">
        <v>1053</v>
      </c>
      <c r="J30" s="26" t="s">
        <v>2118</v>
      </c>
      <c r="K30" s="26" t="s">
        <v>2119</v>
      </c>
      <c r="L30" s="26"/>
    </row>
    <row r="31" spans="2:12">
      <c r="B31" s="161">
        <v>26</v>
      </c>
      <c r="C31" s="26" t="s">
        <v>2139</v>
      </c>
      <c r="D31" s="26" t="s">
        <v>2140</v>
      </c>
      <c r="E31" s="26"/>
      <c r="F31" s="26"/>
      <c r="G31" s="26"/>
      <c r="H31" s="26"/>
      <c r="I31" s="26" t="s">
        <v>1053</v>
      </c>
      <c r="J31" s="26" t="s">
        <v>2118</v>
      </c>
      <c r="K31" s="26" t="s">
        <v>2119</v>
      </c>
      <c r="L31" s="26"/>
    </row>
    <row r="32" spans="2:12">
      <c r="B32" s="161">
        <v>27</v>
      </c>
      <c r="C32" s="26" t="s">
        <v>2141</v>
      </c>
      <c r="D32" s="26" t="s">
        <v>2142</v>
      </c>
      <c r="E32" s="26"/>
      <c r="F32" s="26"/>
      <c r="G32" s="26"/>
      <c r="H32" s="26"/>
      <c r="I32" s="26" t="s">
        <v>1053</v>
      </c>
      <c r="J32" s="26" t="s">
        <v>2118</v>
      </c>
      <c r="K32" s="26" t="s">
        <v>2119</v>
      </c>
      <c r="L32" s="26"/>
    </row>
    <row r="33" spans="2:12">
      <c r="B33" s="161">
        <v>28</v>
      </c>
      <c r="C33" s="20" t="s">
        <v>27</v>
      </c>
      <c r="D33" s="20" t="s">
        <v>28</v>
      </c>
      <c r="E33" s="20" t="s">
        <v>1072</v>
      </c>
      <c r="F33" s="20" t="s">
        <v>1072</v>
      </c>
      <c r="G33" s="20" t="s">
        <v>1072</v>
      </c>
      <c r="H33" s="20" t="s">
        <v>1072</v>
      </c>
      <c r="I33" s="20" t="s">
        <v>951</v>
      </c>
      <c r="J33" s="20"/>
      <c r="K33" s="30" t="s">
        <v>1511</v>
      </c>
      <c r="L33" s="44" t="s">
        <v>1072</v>
      </c>
    </row>
    <row r="34" spans="2:12">
      <c r="B34" s="161">
        <v>29</v>
      </c>
      <c r="C34" s="20" t="s">
        <v>37</v>
      </c>
      <c r="D34" s="20" t="s">
        <v>38</v>
      </c>
      <c r="E34" s="20" t="s">
        <v>1072</v>
      </c>
      <c r="F34" s="20" t="s">
        <v>1072</v>
      </c>
      <c r="G34" s="20" t="s">
        <v>1072</v>
      </c>
      <c r="H34" s="20" t="s">
        <v>1072</v>
      </c>
      <c r="I34" s="20" t="s">
        <v>951</v>
      </c>
      <c r="J34" s="20"/>
      <c r="K34" s="30" t="s">
        <v>1511</v>
      </c>
      <c r="L34" s="44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8F9AC555-D458-4F3F-B6EE-3D8780BAE6A6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156BB-8C26-4EAA-9A6D-467B060F3907}">
  <sheetPr codeName="Sheet22">
    <tabColor theme="7" tint="0.79998168889431442"/>
  </sheetPr>
  <dimension ref="A1:M15"/>
  <sheetViews>
    <sheetView zoomScale="85" zoomScaleNormal="85" workbookViewId="0">
      <selection activeCell="B6" sqref="B6:L7"/>
    </sheetView>
  </sheetViews>
  <sheetFormatPr defaultRowHeight="16.5"/>
  <cols>
    <col min="2" max="2" width="6.875" bestFit="1" customWidth="1"/>
    <col min="3" max="3" width="14.25" bestFit="1" customWidth="1"/>
    <col min="4" max="4" width="26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1" width="47.75" bestFit="1" customWidth="1"/>
    <col min="12" max="12" width="34.625" customWidth="1"/>
  </cols>
  <sheetData>
    <row r="1" spans="1:13" ht="20.25">
      <c r="A1" s="4"/>
      <c r="B1" s="5" t="s">
        <v>1492</v>
      </c>
      <c r="D1" s="482" t="s">
        <v>2356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1399</v>
      </c>
      <c r="E3" s="495"/>
      <c r="F3" s="495"/>
      <c r="G3" s="496"/>
      <c r="H3" s="495" t="s">
        <v>1400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2357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3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3">
      <c r="A8" s="4"/>
      <c r="B8" s="8">
        <v>3</v>
      </c>
      <c r="C8" s="21" t="s">
        <v>270</v>
      </c>
      <c r="D8" s="164" t="s">
        <v>2003</v>
      </c>
      <c r="E8" s="8"/>
      <c r="F8" s="8"/>
      <c r="G8" s="8"/>
      <c r="H8" s="8" t="s">
        <v>1065</v>
      </c>
      <c r="I8" s="8" t="s">
        <v>947</v>
      </c>
      <c r="J8" s="8">
        <v>4</v>
      </c>
      <c r="K8" s="142"/>
      <c r="L8" s="33">
        <v>2025</v>
      </c>
    </row>
    <row r="9" spans="1:13">
      <c r="A9" s="4"/>
      <c r="B9" s="8">
        <v>4</v>
      </c>
      <c r="C9" s="26" t="s">
        <v>2358</v>
      </c>
      <c r="D9" s="398" t="s">
        <v>2359</v>
      </c>
      <c r="E9" s="261"/>
      <c r="F9" s="8"/>
      <c r="G9" s="8"/>
      <c r="H9" s="8" t="s">
        <v>1065</v>
      </c>
      <c r="I9" s="8" t="s">
        <v>947</v>
      </c>
      <c r="J9" s="8">
        <v>6</v>
      </c>
      <c r="K9" s="49" t="s">
        <v>2359</v>
      </c>
      <c r="L9" s="8">
        <v>3</v>
      </c>
    </row>
    <row r="10" spans="1:13">
      <c r="A10" s="4"/>
      <c r="B10" s="8">
        <v>5</v>
      </c>
      <c r="C10" s="203" t="s">
        <v>1084</v>
      </c>
      <c r="D10" s="413" t="s">
        <v>1080</v>
      </c>
      <c r="E10" s="261"/>
      <c r="F10" s="8"/>
      <c r="G10" s="8"/>
      <c r="H10" s="8" t="s">
        <v>1065</v>
      </c>
      <c r="I10" s="8" t="s">
        <v>947</v>
      </c>
      <c r="J10" s="8">
        <v>2</v>
      </c>
      <c r="K10" s="49" t="s">
        <v>1083</v>
      </c>
      <c r="L10" s="8"/>
    </row>
    <row r="11" spans="1:13">
      <c r="A11" s="4"/>
      <c r="B11" s="8">
        <v>6</v>
      </c>
      <c r="C11" s="161" t="s">
        <v>122</v>
      </c>
      <c r="D11" s="14" t="s">
        <v>752</v>
      </c>
      <c r="E11" s="261"/>
      <c r="F11" s="8"/>
      <c r="G11" s="8"/>
      <c r="H11" s="8" t="s">
        <v>1065</v>
      </c>
      <c r="I11" s="8" t="s">
        <v>947</v>
      </c>
      <c r="J11" s="8">
        <v>10</v>
      </c>
      <c r="K11" s="31" t="s">
        <v>2360</v>
      </c>
      <c r="L11" s="8"/>
    </row>
    <row r="12" spans="1:13">
      <c r="A12" s="4"/>
      <c r="B12" s="8">
        <v>7</v>
      </c>
      <c r="C12" s="161" t="s">
        <v>46</v>
      </c>
      <c r="D12" s="178" t="s">
        <v>1039</v>
      </c>
      <c r="E12" s="261"/>
      <c r="F12" s="8"/>
      <c r="G12" s="8"/>
      <c r="H12" s="8" t="s">
        <v>1065</v>
      </c>
      <c r="I12" s="8" t="s">
        <v>947</v>
      </c>
      <c r="J12" s="8">
        <v>30</v>
      </c>
      <c r="K12" s="137"/>
      <c r="L12" s="138"/>
    </row>
    <row r="13" spans="1:13">
      <c r="A13" s="4"/>
      <c r="B13" s="8">
        <v>8</v>
      </c>
      <c r="C13" s="72" t="s">
        <v>2361</v>
      </c>
      <c r="D13" s="72" t="s">
        <v>2362</v>
      </c>
      <c r="E13" s="261"/>
      <c r="F13" s="8"/>
      <c r="G13" s="8"/>
      <c r="H13" s="8" t="s">
        <v>1065</v>
      </c>
      <c r="I13" s="8" t="s">
        <v>947</v>
      </c>
      <c r="J13" s="8">
        <v>1</v>
      </c>
      <c r="K13" s="31" t="s">
        <v>2363</v>
      </c>
      <c r="L13" s="32"/>
    </row>
    <row r="14" spans="1:13">
      <c r="A14" s="4"/>
      <c r="B14" s="8">
        <v>9</v>
      </c>
      <c r="C14" s="400" t="s">
        <v>2364</v>
      </c>
      <c r="D14" s="315" t="s">
        <v>2365</v>
      </c>
      <c r="E14" s="261"/>
      <c r="F14" s="8"/>
      <c r="G14" s="8"/>
      <c r="H14" s="8" t="s">
        <v>1065</v>
      </c>
      <c r="I14" s="8" t="s">
        <v>1053</v>
      </c>
      <c r="J14" s="8" t="s">
        <v>1054</v>
      </c>
      <c r="K14" s="31"/>
      <c r="L14" s="32">
        <v>34394184</v>
      </c>
    </row>
    <row r="15" spans="1:13">
      <c r="B15" s="8">
        <v>10</v>
      </c>
      <c r="C15" s="397" t="s">
        <v>2366</v>
      </c>
      <c r="D15" s="397" t="s">
        <v>2367</v>
      </c>
      <c r="E15" s="8"/>
      <c r="F15" s="8"/>
      <c r="G15" s="8"/>
      <c r="H15" s="8"/>
      <c r="I15" s="8" t="s">
        <v>1053</v>
      </c>
      <c r="J15" s="8" t="s">
        <v>1054</v>
      </c>
      <c r="K15" s="31"/>
      <c r="L15" s="32">
        <f>L14*0.13</f>
        <v>4471243.92</v>
      </c>
    </row>
  </sheetData>
  <mergeCells count="7">
    <mergeCell ref="D1:L1"/>
    <mergeCell ref="D4:J4"/>
    <mergeCell ref="A2:B2"/>
    <mergeCell ref="B3:C3"/>
    <mergeCell ref="B4:C4"/>
    <mergeCell ref="D3:G3"/>
    <mergeCell ref="H3:J3"/>
  </mergeCells>
  <phoneticPr fontId="1" type="noConversion"/>
  <hyperlinks>
    <hyperlink ref="B1" location="Index!A1" display="Index!A1" xr:uid="{73A23708-CC85-47BF-8ACC-A900623ECBD3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57EF-22B5-49AB-9CC2-01315A0FD3EB}">
  <sheetPr codeName="Sheet23">
    <tabColor theme="7" tint="0.79998168889431442"/>
  </sheetPr>
  <dimension ref="A1:L38"/>
  <sheetViews>
    <sheetView topLeftCell="I6" zoomScaleNormal="100" workbookViewId="0">
      <selection activeCell="K43" sqref="K43"/>
    </sheetView>
  </sheetViews>
  <sheetFormatPr defaultRowHeight="16.5"/>
  <cols>
    <col min="2" max="2" width="6.875" bestFit="1" customWidth="1"/>
    <col min="3" max="3" width="17.125" bestFit="1" customWidth="1"/>
    <col min="4" max="4" width="26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1" width="47.75" bestFit="1" customWidth="1"/>
    <col min="12" max="12" width="34.625" customWidth="1"/>
  </cols>
  <sheetData>
    <row r="1" spans="1:12" ht="20.25">
      <c r="A1" s="4"/>
      <c r="B1" s="5" t="s">
        <v>1686</v>
      </c>
      <c r="D1" s="482" t="s">
        <v>2368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1405</v>
      </c>
      <c r="E3" s="495"/>
      <c r="F3" s="495"/>
      <c r="G3" s="496"/>
      <c r="H3" s="494" t="s">
        <v>2369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79" t="s">
        <v>2357</v>
      </c>
      <c r="E4" s="480"/>
      <c r="F4" s="480"/>
      <c r="G4" s="480"/>
      <c r="H4" s="480"/>
      <c r="I4" s="480"/>
      <c r="J4" s="481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t="s">
        <v>1650</v>
      </c>
      <c r="B6" s="8">
        <v>1</v>
      </c>
      <c r="C6" s="283" t="s">
        <v>1515</v>
      </c>
      <c r="D6" s="284" t="s">
        <v>1546</v>
      </c>
      <c r="E6" s="283" t="s">
        <v>1065</v>
      </c>
      <c r="F6" s="283"/>
      <c r="G6" s="283"/>
      <c r="H6" s="283" t="s">
        <v>1065</v>
      </c>
      <c r="I6" s="283" t="s">
        <v>947</v>
      </c>
      <c r="J6" s="283">
        <v>20</v>
      </c>
      <c r="K6" s="139"/>
      <c r="L6" s="138"/>
    </row>
    <row r="7" spans="1:12">
      <c r="A7" s="4"/>
      <c r="B7" s="15">
        <v>2</v>
      </c>
      <c r="C7" s="8" t="s">
        <v>46</v>
      </c>
      <c r="D7" s="42" t="s">
        <v>1761</v>
      </c>
      <c r="E7" s="355" t="s">
        <v>1262</v>
      </c>
      <c r="F7" s="8"/>
      <c r="G7" s="8"/>
      <c r="H7" s="8" t="s">
        <v>1065</v>
      </c>
      <c r="I7" s="8" t="s">
        <v>947</v>
      </c>
      <c r="J7" s="8">
        <v>13</v>
      </c>
      <c r="K7" s="137"/>
      <c r="L7" s="138" t="s">
        <v>2370</v>
      </c>
    </row>
    <row r="8" spans="1:12">
      <c r="A8" s="4"/>
      <c r="B8" s="8">
        <v>3</v>
      </c>
      <c r="C8" s="8" t="s">
        <v>270</v>
      </c>
      <c r="D8" s="42" t="s">
        <v>2003</v>
      </c>
      <c r="E8" s="355" t="s">
        <v>1262</v>
      </c>
      <c r="F8" s="8"/>
      <c r="G8" s="8"/>
      <c r="H8" s="8" t="s">
        <v>1065</v>
      </c>
      <c r="I8" s="8" t="s">
        <v>947</v>
      </c>
      <c r="J8" s="8">
        <v>4</v>
      </c>
      <c r="K8" s="142" t="s">
        <v>2371</v>
      </c>
      <c r="L8" s="33">
        <v>2025</v>
      </c>
    </row>
    <row r="9" spans="1:12">
      <c r="A9" s="4"/>
      <c r="B9" s="15">
        <v>4</v>
      </c>
      <c r="C9" s="26" t="s">
        <v>1084</v>
      </c>
      <c r="D9" s="281" t="s">
        <v>2004</v>
      </c>
      <c r="E9" s="355" t="s">
        <v>1262</v>
      </c>
      <c r="F9" s="8"/>
      <c r="G9" s="8"/>
      <c r="H9" s="8" t="s">
        <v>1065</v>
      </c>
      <c r="I9" s="8" t="s">
        <v>947</v>
      </c>
      <c r="J9" s="8">
        <v>2</v>
      </c>
      <c r="K9" s="142" t="s">
        <v>2372</v>
      </c>
      <c r="L9" s="33">
        <v>3</v>
      </c>
    </row>
    <row r="10" spans="1:12">
      <c r="A10" s="4"/>
      <c r="B10" s="8">
        <v>5</v>
      </c>
      <c r="C10" s="8" t="s">
        <v>122</v>
      </c>
      <c r="D10" s="15" t="s">
        <v>1691</v>
      </c>
      <c r="E10" s="355" t="s">
        <v>1262</v>
      </c>
      <c r="F10" s="8"/>
      <c r="G10" s="8"/>
      <c r="H10" s="8" t="s">
        <v>1065</v>
      </c>
      <c r="I10" s="8" t="s">
        <v>947</v>
      </c>
      <c r="J10" s="8">
        <v>10</v>
      </c>
      <c r="K10" s="31" t="s">
        <v>2360</v>
      </c>
      <c r="L10" s="33"/>
    </row>
    <row r="11" spans="1:12">
      <c r="A11" s="4"/>
      <c r="B11" s="15">
        <v>6</v>
      </c>
      <c r="C11" s="15" t="s">
        <v>1058</v>
      </c>
      <c r="D11" s="15" t="s">
        <v>526</v>
      </c>
      <c r="E11" s="8"/>
      <c r="F11" s="8"/>
      <c r="G11" s="8"/>
      <c r="H11" s="8"/>
      <c r="I11" s="8" t="s">
        <v>1053</v>
      </c>
      <c r="J11" s="8" t="s">
        <v>1054</v>
      </c>
      <c r="K11" s="31"/>
      <c r="L11" s="136">
        <v>34394184</v>
      </c>
    </row>
    <row r="12" spans="1:12">
      <c r="A12" s="4"/>
      <c r="B12" s="8">
        <v>7</v>
      </c>
      <c r="C12" s="15" t="s">
        <v>2373</v>
      </c>
      <c r="D12" s="48" t="s">
        <v>528</v>
      </c>
      <c r="E12" s="8"/>
      <c r="F12" s="8"/>
      <c r="G12" s="8"/>
      <c r="H12" s="8"/>
      <c r="I12" s="8" t="s">
        <v>1053</v>
      </c>
      <c r="J12" s="8" t="s">
        <v>1054</v>
      </c>
      <c r="K12" s="31"/>
      <c r="L12" s="136">
        <v>34394184</v>
      </c>
    </row>
    <row r="13" spans="1:12">
      <c r="A13" s="4"/>
      <c r="B13" s="15">
        <v>8</v>
      </c>
      <c r="C13" s="15" t="s">
        <v>2374</v>
      </c>
      <c r="D13" s="48" t="s">
        <v>530</v>
      </c>
      <c r="E13" s="8"/>
      <c r="F13" s="8"/>
      <c r="G13" s="8"/>
      <c r="H13" s="8"/>
      <c r="I13" s="8" t="s">
        <v>1053</v>
      </c>
      <c r="J13" s="8" t="s">
        <v>1054</v>
      </c>
      <c r="K13" s="31"/>
      <c r="L13" s="32">
        <v>34394184</v>
      </c>
    </row>
    <row r="14" spans="1:12">
      <c r="A14" s="4"/>
      <c r="B14" s="8">
        <v>9</v>
      </c>
      <c r="C14" s="15" t="s">
        <v>2375</v>
      </c>
      <c r="D14" s="48" t="s">
        <v>532</v>
      </c>
      <c r="E14" s="8"/>
      <c r="F14" s="8"/>
      <c r="G14" s="8"/>
      <c r="H14" s="8"/>
      <c r="I14" s="8" t="s">
        <v>1053</v>
      </c>
      <c r="J14" s="8" t="s">
        <v>1054</v>
      </c>
      <c r="K14" s="31"/>
      <c r="L14" s="32">
        <v>34394184</v>
      </c>
    </row>
    <row r="15" spans="1:12">
      <c r="A15" s="4"/>
      <c r="B15" s="15">
        <v>10</v>
      </c>
      <c r="C15" s="15" t="s">
        <v>2376</v>
      </c>
      <c r="D15" s="48" t="s">
        <v>534</v>
      </c>
      <c r="E15" s="8"/>
      <c r="F15" s="8"/>
      <c r="G15" s="8"/>
      <c r="H15" s="8"/>
      <c r="I15" s="8" t="s">
        <v>1053</v>
      </c>
      <c r="J15" s="8" t="s">
        <v>1054</v>
      </c>
      <c r="K15" s="31"/>
      <c r="L15" s="32">
        <v>34394184</v>
      </c>
    </row>
    <row r="16" spans="1:12">
      <c r="A16" s="4"/>
      <c r="B16" s="8">
        <v>11</v>
      </c>
      <c r="C16" s="15" t="s">
        <v>2377</v>
      </c>
      <c r="D16" s="48" t="s">
        <v>536</v>
      </c>
      <c r="E16" s="8"/>
      <c r="F16" s="8"/>
      <c r="G16" s="8"/>
      <c r="H16" s="8"/>
      <c r="I16" s="8" t="s">
        <v>1053</v>
      </c>
      <c r="J16" s="8" t="s">
        <v>1054</v>
      </c>
      <c r="K16" s="31"/>
      <c r="L16" s="32">
        <v>34394184</v>
      </c>
    </row>
    <row r="17" spans="1:12">
      <c r="A17" s="4"/>
      <c r="B17" s="15">
        <v>12</v>
      </c>
      <c r="C17" s="15" t="s">
        <v>2378</v>
      </c>
      <c r="D17" s="48" t="s">
        <v>538</v>
      </c>
      <c r="E17" s="8"/>
      <c r="F17" s="8"/>
      <c r="G17" s="8"/>
      <c r="H17" s="8"/>
      <c r="I17" s="8" t="s">
        <v>1053</v>
      </c>
      <c r="J17" s="8" t="s">
        <v>1054</v>
      </c>
      <c r="K17" s="31"/>
      <c r="L17" s="32">
        <v>34394184</v>
      </c>
    </row>
    <row r="18" spans="1:12">
      <c r="A18" s="4"/>
      <c r="B18" s="8">
        <v>13</v>
      </c>
      <c r="C18" s="15" t="s">
        <v>2379</v>
      </c>
      <c r="D18" s="48" t="s">
        <v>540</v>
      </c>
      <c r="E18" s="8"/>
      <c r="F18" s="8"/>
      <c r="G18" s="8"/>
      <c r="H18" s="8"/>
      <c r="I18" s="8" t="s">
        <v>1053</v>
      </c>
      <c r="J18" s="8" t="s">
        <v>1054</v>
      </c>
      <c r="K18" s="33"/>
      <c r="L18" s="32">
        <v>34394184</v>
      </c>
    </row>
    <row r="19" spans="1:12">
      <c r="A19" s="4"/>
      <c r="B19" s="15">
        <v>14</v>
      </c>
      <c r="C19" s="15" t="s">
        <v>2380</v>
      </c>
      <c r="D19" s="48" t="s">
        <v>542</v>
      </c>
      <c r="E19" s="8"/>
      <c r="F19" s="8"/>
      <c r="G19" s="8"/>
      <c r="H19" s="8"/>
      <c r="I19" s="8" t="s">
        <v>1053</v>
      </c>
      <c r="J19" s="8" t="s">
        <v>1054</v>
      </c>
      <c r="K19" s="33"/>
      <c r="L19" s="32">
        <v>34394184</v>
      </c>
    </row>
    <row r="20" spans="1:12">
      <c r="A20" s="4"/>
      <c r="B20" s="8">
        <v>15</v>
      </c>
      <c r="C20" s="15" t="s">
        <v>2381</v>
      </c>
      <c r="D20" s="48" t="s">
        <v>544</v>
      </c>
      <c r="E20" s="8"/>
      <c r="F20" s="8"/>
      <c r="G20" s="8"/>
      <c r="H20" s="8"/>
      <c r="I20" s="8" t="s">
        <v>1053</v>
      </c>
      <c r="J20" s="8" t="s">
        <v>1054</v>
      </c>
      <c r="K20" s="33"/>
      <c r="L20" s="32">
        <v>34394184</v>
      </c>
    </row>
    <row r="21" spans="1:12">
      <c r="A21" s="4"/>
      <c r="B21" s="15">
        <v>16</v>
      </c>
      <c r="C21" s="15" t="s">
        <v>2382</v>
      </c>
      <c r="D21" s="48" t="s">
        <v>546</v>
      </c>
      <c r="E21" s="8"/>
      <c r="F21" s="8"/>
      <c r="G21" s="8"/>
      <c r="H21" s="8"/>
      <c r="I21" s="8" t="s">
        <v>1053</v>
      </c>
      <c r="J21" s="8" t="s">
        <v>1054</v>
      </c>
      <c r="K21" s="33"/>
      <c r="L21" s="32">
        <v>34394184</v>
      </c>
    </row>
    <row r="22" spans="1:12">
      <c r="A22" s="4"/>
      <c r="B22" s="8">
        <v>17</v>
      </c>
      <c r="C22" s="15" t="s">
        <v>2383</v>
      </c>
      <c r="D22" s="48" t="s">
        <v>548</v>
      </c>
      <c r="E22" s="8"/>
      <c r="F22" s="8"/>
      <c r="G22" s="8"/>
      <c r="H22" s="8"/>
      <c r="I22" s="8" t="s">
        <v>1053</v>
      </c>
      <c r="J22" s="8" t="s">
        <v>1054</v>
      </c>
      <c r="K22" s="33"/>
      <c r="L22" s="32">
        <v>34394184</v>
      </c>
    </row>
    <row r="23" spans="1:12">
      <c r="A23" s="4"/>
      <c r="B23" s="15">
        <v>18</v>
      </c>
      <c r="C23" s="393" t="s">
        <v>2384</v>
      </c>
      <c r="D23" s="393" t="s">
        <v>2385</v>
      </c>
      <c r="E23" s="202"/>
      <c r="F23" s="202"/>
      <c r="G23" s="202"/>
      <c r="H23" s="202"/>
      <c r="I23" s="218" t="s">
        <v>1053</v>
      </c>
      <c r="J23" s="218" t="s">
        <v>1054</v>
      </c>
      <c r="K23" s="399"/>
      <c r="L23" s="232">
        <v>4471243.92</v>
      </c>
    </row>
    <row r="24" spans="1:12">
      <c r="A24" s="4"/>
      <c r="B24" s="8">
        <v>19</v>
      </c>
      <c r="C24" s="393" t="s">
        <v>2386</v>
      </c>
      <c r="D24" s="393" t="s">
        <v>2387</v>
      </c>
      <c r="E24" s="202"/>
      <c r="F24" s="202"/>
      <c r="G24" s="202"/>
      <c r="H24" s="202"/>
      <c r="I24" s="218" t="s">
        <v>1053</v>
      </c>
      <c r="J24" s="218" t="s">
        <v>1054</v>
      </c>
      <c r="K24" s="399"/>
      <c r="L24" s="232">
        <v>4471244.92</v>
      </c>
    </row>
    <row r="25" spans="1:12">
      <c r="A25" s="4"/>
      <c r="B25" s="15">
        <v>20</v>
      </c>
      <c r="C25" s="393" t="s">
        <v>2388</v>
      </c>
      <c r="D25" s="393" t="s">
        <v>2389</v>
      </c>
      <c r="E25" s="202"/>
      <c r="F25" s="202"/>
      <c r="G25" s="202"/>
      <c r="H25" s="202"/>
      <c r="I25" s="218" t="s">
        <v>1053</v>
      </c>
      <c r="J25" s="218" t="s">
        <v>1054</v>
      </c>
      <c r="K25" s="399"/>
      <c r="L25" s="232">
        <v>4471245.92</v>
      </c>
    </row>
    <row r="26" spans="1:12">
      <c r="A26" s="4"/>
      <c r="B26" s="8">
        <v>21</v>
      </c>
      <c r="C26" s="393" t="s">
        <v>2390</v>
      </c>
      <c r="D26" s="393" t="s">
        <v>2391</v>
      </c>
      <c r="E26" s="202"/>
      <c r="F26" s="202"/>
      <c r="G26" s="202"/>
      <c r="H26" s="202"/>
      <c r="I26" s="218" t="s">
        <v>1053</v>
      </c>
      <c r="J26" s="218" t="s">
        <v>1054</v>
      </c>
      <c r="K26" s="399"/>
      <c r="L26" s="232">
        <v>4471246.92</v>
      </c>
    </row>
    <row r="27" spans="1:12">
      <c r="A27" s="4"/>
      <c r="B27" s="15">
        <v>22</v>
      </c>
      <c r="C27" s="393" t="s">
        <v>2392</v>
      </c>
      <c r="D27" s="393" t="s">
        <v>2393</v>
      </c>
      <c r="E27" s="202"/>
      <c r="F27" s="202"/>
      <c r="G27" s="202"/>
      <c r="H27" s="202"/>
      <c r="I27" s="218" t="s">
        <v>1053</v>
      </c>
      <c r="J27" s="218" t="s">
        <v>1054</v>
      </c>
      <c r="K27" s="399"/>
      <c r="L27" s="232">
        <v>4471247.92</v>
      </c>
    </row>
    <row r="28" spans="1:12">
      <c r="A28" s="4"/>
      <c r="B28" s="8">
        <v>23</v>
      </c>
      <c r="C28" s="393" t="s">
        <v>2394</v>
      </c>
      <c r="D28" s="393" t="s">
        <v>2395</v>
      </c>
      <c r="E28" s="202"/>
      <c r="F28" s="202"/>
      <c r="G28" s="202"/>
      <c r="H28" s="202"/>
      <c r="I28" s="218" t="s">
        <v>1053</v>
      </c>
      <c r="J28" s="218" t="s">
        <v>1054</v>
      </c>
      <c r="K28" s="399"/>
      <c r="L28" s="232">
        <v>4471248.92</v>
      </c>
    </row>
    <row r="29" spans="1:12">
      <c r="A29" s="4"/>
      <c r="B29" s="15">
        <v>24</v>
      </c>
      <c r="C29" s="393" t="s">
        <v>2396</v>
      </c>
      <c r="D29" s="393" t="s">
        <v>2397</v>
      </c>
      <c r="E29" s="202"/>
      <c r="F29" s="202"/>
      <c r="G29" s="202"/>
      <c r="H29" s="202"/>
      <c r="I29" s="218" t="s">
        <v>1053</v>
      </c>
      <c r="J29" s="218" t="s">
        <v>1054</v>
      </c>
      <c r="K29" s="399"/>
      <c r="L29" s="232">
        <v>4471249.92</v>
      </c>
    </row>
    <row r="30" spans="1:12">
      <c r="A30" s="4"/>
      <c r="B30" s="8">
        <v>25</v>
      </c>
      <c r="C30" s="393" t="s">
        <v>2398</v>
      </c>
      <c r="D30" s="393" t="s">
        <v>2399</v>
      </c>
      <c r="E30" s="202"/>
      <c r="F30" s="202"/>
      <c r="G30" s="202"/>
      <c r="H30" s="202"/>
      <c r="I30" s="218" t="s">
        <v>1053</v>
      </c>
      <c r="J30" s="218" t="s">
        <v>1054</v>
      </c>
      <c r="K30" s="205"/>
      <c r="L30" s="232">
        <v>4471250.92</v>
      </c>
    </row>
    <row r="31" spans="1:12">
      <c r="A31" s="4"/>
      <c r="B31" s="15">
        <v>26</v>
      </c>
      <c r="C31" s="393" t="s">
        <v>2400</v>
      </c>
      <c r="D31" s="393" t="s">
        <v>2401</v>
      </c>
      <c r="E31" s="202"/>
      <c r="F31" s="202"/>
      <c r="G31" s="202"/>
      <c r="H31" s="202"/>
      <c r="I31" s="218" t="s">
        <v>1053</v>
      </c>
      <c r="J31" s="218" t="s">
        <v>1054</v>
      </c>
      <c r="K31" s="205"/>
      <c r="L31" s="232">
        <v>4471251.92</v>
      </c>
    </row>
    <row r="32" spans="1:12">
      <c r="A32" s="4"/>
      <c r="B32" s="8">
        <v>27</v>
      </c>
      <c r="C32" s="393" t="s">
        <v>2402</v>
      </c>
      <c r="D32" s="393" t="s">
        <v>2403</v>
      </c>
      <c r="E32" s="202"/>
      <c r="F32" s="202"/>
      <c r="G32" s="202"/>
      <c r="H32" s="202"/>
      <c r="I32" s="218" t="s">
        <v>1053</v>
      </c>
      <c r="J32" s="218" t="s">
        <v>1054</v>
      </c>
      <c r="K32" s="205"/>
      <c r="L32" s="232">
        <v>4471252.92</v>
      </c>
    </row>
    <row r="33" spans="1:12">
      <c r="A33" s="4"/>
      <c r="B33" s="15">
        <v>28</v>
      </c>
      <c r="C33" s="393" t="s">
        <v>2404</v>
      </c>
      <c r="D33" s="393" t="s">
        <v>2405</v>
      </c>
      <c r="E33" s="202"/>
      <c r="F33" s="202"/>
      <c r="G33" s="202"/>
      <c r="H33" s="202"/>
      <c r="I33" s="218" t="s">
        <v>1053</v>
      </c>
      <c r="J33" s="218" t="s">
        <v>1054</v>
      </c>
      <c r="K33" s="205"/>
      <c r="L33" s="232">
        <v>4471253.92</v>
      </c>
    </row>
    <row r="34" spans="1:12">
      <c r="A34" s="4"/>
      <c r="B34" s="8">
        <v>29</v>
      </c>
      <c r="C34" s="393" t="s">
        <v>2406</v>
      </c>
      <c r="D34" s="393" t="s">
        <v>2407</v>
      </c>
      <c r="E34" s="202"/>
      <c r="F34" s="202"/>
      <c r="G34" s="202"/>
      <c r="H34" s="202"/>
      <c r="I34" s="218" t="s">
        <v>1053</v>
      </c>
      <c r="J34" s="218" t="s">
        <v>1054</v>
      </c>
      <c r="K34" s="205"/>
      <c r="L34" s="232">
        <v>4471254.92</v>
      </c>
    </row>
    <row r="35" spans="1:12">
      <c r="B35" s="15">
        <v>30</v>
      </c>
      <c r="C35" s="20" t="s">
        <v>27</v>
      </c>
      <c r="D35" s="20" t="s">
        <v>28</v>
      </c>
      <c r="E35" s="20" t="s">
        <v>1072</v>
      </c>
      <c r="F35" s="20" t="s">
        <v>1072</v>
      </c>
      <c r="G35" s="20" t="s">
        <v>1072</v>
      </c>
      <c r="H35" s="20" t="s">
        <v>1072</v>
      </c>
      <c r="I35" s="20" t="s">
        <v>951</v>
      </c>
      <c r="J35" s="20"/>
      <c r="K35" s="30" t="s">
        <v>1511</v>
      </c>
      <c r="L35" s="44" t="s">
        <v>1072</v>
      </c>
    </row>
    <row r="36" spans="1:12">
      <c r="B36" s="8">
        <v>31</v>
      </c>
      <c r="C36" s="20" t="s">
        <v>33</v>
      </c>
      <c r="D36" s="20" t="s">
        <v>34</v>
      </c>
      <c r="E36" s="20" t="s">
        <v>1072</v>
      </c>
      <c r="F36" s="20" t="s">
        <v>1072</v>
      </c>
      <c r="G36" s="20" t="s">
        <v>1072</v>
      </c>
      <c r="H36" s="20" t="s">
        <v>1072</v>
      </c>
      <c r="I36" s="20" t="s">
        <v>947</v>
      </c>
      <c r="J36" s="20"/>
      <c r="K36" s="30" t="s">
        <v>1511</v>
      </c>
      <c r="L36" s="44" t="s">
        <v>1072</v>
      </c>
    </row>
    <row r="37" spans="1:12">
      <c r="B37" s="15">
        <v>32</v>
      </c>
      <c r="C37" s="20" t="s">
        <v>37</v>
      </c>
      <c r="D37" s="20" t="s">
        <v>38</v>
      </c>
      <c r="E37" s="20" t="s">
        <v>1072</v>
      </c>
      <c r="F37" s="20" t="s">
        <v>1072</v>
      </c>
      <c r="G37" s="20" t="s">
        <v>1072</v>
      </c>
      <c r="H37" s="20" t="s">
        <v>1072</v>
      </c>
      <c r="I37" s="20" t="s">
        <v>951</v>
      </c>
      <c r="J37" s="20"/>
      <c r="K37" s="30" t="s">
        <v>1511</v>
      </c>
      <c r="L37" s="44" t="s">
        <v>1072</v>
      </c>
    </row>
    <row r="38" spans="1:12">
      <c r="B38" s="8">
        <v>33</v>
      </c>
      <c r="C38" s="20" t="s">
        <v>43</v>
      </c>
      <c r="D38" s="20" t="s">
        <v>44</v>
      </c>
      <c r="E38" s="20" t="s">
        <v>1072</v>
      </c>
      <c r="F38" s="20" t="s">
        <v>1072</v>
      </c>
      <c r="G38" s="20" t="s">
        <v>1072</v>
      </c>
      <c r="H38" s="20" t="s">
        <v>1072</v>
      </c>
      <c r="I38" s="20" t="s">
        <v>947</v>
      </c>
      <c r="J38" s="20"/>
      <c r="K38" s="30" t="s">
        <v>1511</v>
      </c>
      <c r="L38" s="44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BFAC8085-A291-4713-88CB-4F80307BB5D3}"/>
  </hyperlinks>
  <pageMargins left="0.7" right="0.7" top="0.75" bottom="0.75" header="0.3" footer="0.3"/>
  <pageSetup paperSize="9" orientation="portrait" horizontalDpi="300" verticalDpi="30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0441-A104-4603-9FE1-2595E69CFAFA}">
  <sheetPr>
    <tabColor theme="7" tint="0.79998168889431442"/>
  </sheetPr>
  <dimension ref="A1:M22"/>
  <sheetViews>
    <sheetView workbookViewId="0">
      <selection activeCell="G23" sqref="G23"/>
    </sheetView>
  </sheetViews>
  <sheetFormatPr defaultRowHeight="16.5"/>
  <cols>
    <col min="3" max="3" width="15.375" bestFit="1" customWidth="1"/>
    <col min="4" max="4" width="14.875" bestFit="1" customWidth="1"/>
    <col min="9" max="9" width="10.125" bestFit="1" customWidth="1"/>
    <col min="10" max="10" width="7.375" bestFit="1" customWidth="1"/>
    <col min="11" max="11" width="24.625" bestFit="1" customWidth="1"/>
    <col min="12" max="12" width="15.25" bestFit="1" customWidth="1"/>
    <col min="13" max="13" width="36" bestFit="1" customWidth="1"/>
  </cols>
  <sheetData>
    <row r="1" spans="1:13" ht="20.25">
      <c r="A1" s="185"/>
      <c r="B1" s="258" t="s">
        <v>1492</v>
      </c>
      <c r="C1" s="186"/>
      <c r="D1" s="511" t="s">
        <v>2408</v>
      </c>
      <c r="E1" s="511"/>
      <c r="F1" s="511"/>
      <c r="G1" s="511"/>
      <c r="H1" s="511"/>
      <c r="I1" s="511"/>
      <c r="J1" s="511"/>
      <c r="K1" s="511"/>
      <c r="L1" s="511"/>
      <c r="M1" s="198"/>
    </row>
    <row r="2" spans="1:13">
      <c r="A2" s="512"/>
      <c r="B2" s="512"/>
      <c r="C2" s="185"/>
      <c r="D2" s="185"/>
      <c r="E2" s="513" t="s">
        <v>1072</v>
      </c>
      <c r="F2" s="513"/>
      <c r="G2" s="185"/>
      <c r="H2" s="185"/>
      <c r="I2" s="185"/>
      <c r="J2" s="185"/>
      <c r="K2" s="185"/>
      <c r="L2" s="188"/>
      <c r="M2" s="198"/>
    </row>
    <row r="3" spans="1:13">
      <c r="A3" s="185"/>
      <c r="B3" s="514" t="s">
        <v>1493</v>
      </c>
      <c r="C3" s="515"/>
      <c r="D3" s="516" t="s">
        <v>1408</v>
      </c>
      <c r="E3" s="516"/>
      <c r="F3" s="516"/>
      <c r="G3" s="516"/>
      <c r="H3" s="503" t="s">
        <v>2408</v>
      </c>
      <c r="I3" s="503"/>
      <c r="J3" s="503"/>
      <c r="K3" s="503"/>
      <c r="L3" s="187"/>
      <c r="M3" s="198"/>
    </row>
    <row r="4" spans="1:13">
      <c r="A4" s="185"/>
      <c r="B4" s="514" t="s">
        <v>1231</v>
      </c>
      <c r="C4" s="515"/>
      <c r="D4" s="485" t="s">
        <v>1398</v>
      </c>
      <c r="E4" s="485"/>
      <c r="F4" s="485"/>
      <c r="G4" s="485"/>
      <c r="H4" s="485"/>
      <c r="I4" s="485"/>
      <c r="J4" s="486"/>
      <c r="K4" s="187"/>
      <c r="L4" s="187"/>
      <c r="M4" s="198"/>
    </row>
    <row r="5" spans="1:13">
      <c r="A5" s="185"/>
      <c r="B5" s="189" t="s">
        <v>1494</v>
      </c>
      <c r="C5" s="190" t="s">
        <v>14</v>
      </c>
      <c r="D5" s="190" t="s">
        <v>15</v>
      </c>
      <c r="E5" s="190" t="s">
        <v>928</v>
      </c>
      <c r="F5" s="190" t="s">
        <v>929</v>
      </c>
      <c r="G5" s="190" t="s">
        <v>930</v>
      </c>
      <c r="H5" s="190" t="s">
        <v>931</v>
      </c>
      <c r="I5" s="190" t="s">
        <v>932</v>
      </c>
      <c r="J5" s="191" t="s">
        <v>933</v>
      </c>
      <c r="K5" s="192" t="s">
        <v>934</v>
      </c>
      <c r="L5" s="193" t="s">
        <v>935</v>
      </c>
      <c r="M5" s="198"/>
    </row>
    <row r="6" spans="1:13">
      <c r="A6" s="185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  <c r="M6" s="198"/>
    </row>
    <row r="7" spans="1:13" ht="33">
      <c r="A7" s="185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s="198" t="s">
        <v>1640</v>
      </c>
    </row>
    <row r="8" spans="1:13">
      <c r="A8" s="185"/>
      <c r="B8" s="8">
        <v>3</v>
      </c>
      <c r="C8" s="347" t="s">
        <v>2358</v>
      </c>
      <c r="D8" s="348" t="s">
        <v>2409</v>
      </c>
      <c r="E8" s="347" t="s">
        <v>1072</v>
      </c>
      <c r="F8" s="347" t="s">
        <v>1072</v>
      </c>
      <c r="G8" s="347" t="s">
        <v>1072</v>
      </c>
      <c r="H8" s="347" t="s">
        <v>1065</v>
      </c>
      <c r="I8" s="347" t="s">
        <v>947</v>
      </c>
      <c r="J8" s="347">
        <v>6</v>
      </c>
      <c r="K8" s="349" t="s">
        <v>2074</v>
      </c>
      <c r="L8" s="226">
        <v>202504</v>
      </c>
      <c r="M8" s="198"/>
    </row>
    <row r="9" spans="1:13">
      <c r="A9" s="185"/>
      <c r="B9" s="8">
        <v>4</v>
      </c>
      <c r="C9" s="195" t="s">
        <v>122</v>
      </c>
      <c r="D9" s="414" t="s">
        <v>281</v>
      </c>
      <c r="E9" s="195" t="s">
        <v>1072</v>
      </c>
      <c r="F9" s="195" t="s">
        <v>1072</v>
      </c>
      <c r="G9" s="195" t="s">
        <v>1072</v>
      </c>
      <c r="H9" s="195" t="s">
        <v>1065</v>
      </c>
      <c r="I9" s="195" t="s">
        <v>947</v>
      </c>
      <c r="J9" s="195">
        <v>10</v>
      </c>
      <c r="K9" s="196" t="s">
        <v>2410</v>
      </c>
      <c r="L9" s="197" t="s">
        <v>1072</v>
      </c>
      <c r="M9" s="198"/>
    </row>
    <row r="10" spans="1:13">
      <c r="A10" s="185"/>
      <c r="B10" s="8">
        <v>5</v>
      </c>
      <c r="C10" s="195" t="s">
        <v>2411</v>
      </c>
      <c r="D10" s="195" t="s">
        <v>2412</v>
      </c>
      <c r="E10" s="195" t="s">
        <v>1072</v>
      </c>
      <c r="F10" s="195" t="s">
        <v>1072</v>
      </c>
      <c r="G10" s="195" t="s">
        <v>1072</v>
      </c>
      <c r="H10" s="195" t="s">
        <v>1065</v>
      </c>
      <c r="I10" s="195" t="s">
        <v>947</v>
      </c>
      <c r="J10" s="195">
        <v>1</v>
      </c>
      <c r="K10" s="198" t="s">
        <v>2413</v>
      </c>
      <c r="L10" s="130" t="s">
        <v>2414</v>
      </c>
      <c r="M10" s="198"/>
    </row>
    <row r="11" spans="1:13">
      <c r="A11" s="185"/>
      <c r="B11" s="8">
        <v>6</v>
      </c>
      <c r="C11" s="195" t="s">
        <v>2415</v>
      </c>
      <c r="D11" s="195" t="s">
        <v>2416</v>
      </c>
      <c r="E11" s="195" t="s">
        <v>1072</v>
      </c>
      <c r="F11" s="195" t="s">
        <v>1072</v>
      </c>
      <c r="G11" s="195" t="s">
        <v>1072</v>
      </c>
      <c r="H11" s="195" t="s">
        <v>1072</v>
      </c>
      <c r="I11" s="195" t="s">
        <v>1053</v>
      </c>
      <c r="J11" s="195" t="s">
        <v>2417</v>
      </c>
      <c r="K11" s="199" t="s">
        <v>2418</v>
      </c>
      <c r="L11" s="195">
        <v>11.2</v>
      </c>
      <c r="M11" s="198"/>
    </row>
    <row r="12" spans="1:13">
      <c r="A12" s="185"/>
      <c r="B12" s="8">
        <v>7</v>
      </c>
      <c r="C12" s="195" t="s">
        <v>2419</v>
      </c>
      <c r="D12" s="195" t="s">
        <v>2420</v>
      </c>
      <c r="E12" s="195" t="s">
        <v>1072</v>
      </c>
      <c r="F12" s="195" t="s">
        <v>1072</v>
      </c>
      <c r="G12" s="195" t="s">
        <v>1072</v>
      </c>
      <c r="H12" s="195" t="s">
        <v>1072</v>
      </c>
      <c r="I12" s="195" t="s">
        <v>1053</v>
      </c>
      <c r="J12" s="195" t="s">
        <v>2417</v>
      </c>
      <c r="K12" s="199" t="s">
        <v>2418</v>
      </c>
      <c r="L12" s="195">
        <v>12.2</v>
      </c>
      <c r="M12" s="198"/>
    </row>
    <row r="13" spans="1:13">
      <c r="B13" s="8">
        <v>8</v>
      </c>
      <c r="C13" s="195" t="s">
        <v>2421</v>
      </c>
      <c r="D13" s="195" t="s">
        <v>2422</v>
      </c>
      <c r="E13" s="195" t="s">
        <v>1072</v>
      </c>
      <c r="F13" s="195" t="s">
        <v>1072</v>
      </c>
      <c r="G13" s="195" t="s">
        <v>1072</v>
      </c>
      <c r="H13" s="195" t="s">
        <v>1072</v>
      </c>
      <c r="I13" s="195" t="s">
        <v>1053</v>
      </c>
      <c r="J13" s="195" t="s">
        <v>2417</v>
      </c>
      <c r="K13" s="199" t="s">
        <v>2418</v>
      </c>
      <c r="L13" s="195">
        <v>13.2</v>
      </c>
    </row>
    <row r="14" spans="1:13">
      <c r="B14" s="8">
        <v>9</v>
      </c>
      <c r="C14" s="195" t="s">
        <v>2423</v>
      </c>
      <c r="D14" s="195" t="s">
        <v>2424</v>
      </c>
      <c r="E14" s="195" t="s">
        <v>1072</v>
      </c>
      <c r="F14" s="195" t="s">
        <v>1072</v>
      </c>
      <c r="G14" s="195" t="s">
        <v>1072</v>
      </c>
      <c r="H14" s="195" t="s">
        <v>1072</v>
      </c>
      <c r="I14" s="195" t="s">
        <v>1053</v>
      </c>
      <c r="J14" s="195" t="s">
        <v>2417</v>
      </c>
      <c r="K14" s="199" t="s">
        <v>2418</v>
      </c>
      <c r="L14" s="195">
        <v>14.2</v>
      </c>
    </row>
    <row r="15" spans="1:13">
      <c r="B15" s="8">
        <v>10</v>
      </c>
      <c r="C15" s="195" t="s">
        <v>2425</v>
      </c>
      <c r="D15" s="195" t="s">
        <v>2426</v>
      </c>
      <c r="E15" s="195" t="s">
        <v>1072</v>
      </c>
      <c r="F15" s="195" t="s">
        <v>1072</v>
      </c>
      <c r="G15" s="195" t="s">
        <v>1072</v>
      </c>
      <c r="H15" s="195" t="s">
        <v>1072</v>
      </c>
      <c r="I15" s="195" t="s">
        <v>1053</v>
      </c>
      <c r="J15" s="195" t="s">
        <v>2417</v>
      </c>
      <c r="K15" s="199" t="s">
        <v>2418</v>
      </c>
      <c r="L15" s="195">
        <v>15.2</v>
      </c>
    </row>
    <row r="16" spans="1:13">
      <c r="B16" s="8">
        <v>11</v>
      </c>
      <c r="C16" s="195" t="s">
        <v>2427</v>
      </c>
      <c r="D16" s="195" t="s">
        <v>2428</v>
      </c>
      <c r="E16" s="195" t="s">
        <v>1072</v>
      </c>
      <c r="F16" s="195" t="s">
        <v>1072</v>
      </c>
      <c r="G16" s="195" t="s">
        <v>1072</v>
      </c>
      <c r="H16" s="195" t="s">
        <v>1072</v>
      </c>
      <c r="I16" s="195" t="s">
        <v>1053</v>
      </c>
      <c r="J16" s="195" t="s">
        <v>2417</v>
      </c>
      <c r="K16" s="199" t="s">
        <v>2418</v>
      </c>
      <c r="L16" s="195">
        <v>16.2</v>
      </c>
    </row>
    <row r="17" spans="2:12">
      <c r="B17" s="8">
        <v>12</v>
      </c>
      <c r="C17" s="195" t="s">
        <v>2429</v>
      </c>
      <c r="D17" s="195" t="s">
        <v>2430</v>
      </c>
      <c r="E17" s="195" t="s">
        <v>1072</v>
      </c>
      <c r="F17" s="195" t="s">
        <v>1072</v>
      </c>
      <c r="G17" s="195" t="s">
        <v>1072</v>
      </c>
      <c r="H17" s="195" t="s">
        <v>1072</v>
      </c>
      <c r="I17" s="195" t="s">
        <v>1053</v>
      </c>
      <c r="J17" s="195" t="s">
        <v>2417</v>
      </c>
      <c r="K17" s="199" t="s">
        <v>2418</v>
      </c>
      <c r="L17" s="195">
        <v>17.2</v>
      </c>
    </row>
    <row r="18" spans="2:12">
      <c r="B18" s="8">
        <v>13</v>
      </c>
      <c r="C18" s="195" t="s">
        <v>2431</v>
      </c>
      <c r="D18" s="195" t="s">
        <v>2432</v>
      </c>
      <c r="E18" s="195" t="s">
        <v>1072</v>
      </c>
      <c r="F18" s="195" t="s">
        <v>1072</v>
      </c>
      <c r="G18" s="195" t="s">
        <v>1072</v>
      </c>
      <c r="H18" s="195" t="s">
        <v>1072</v>
      </c>
      <c r="I18" s="195" t="s">
        <v>1053</v>
      </c>
      <c r="J18" s="195" t="s">
        <v>2417</v>
      </c>
      <c r="K18" s="199" t="s">
        <v>2418</v>
      </c>
      <c r="L18" s="195">
        <v>18.2</v>
      </c>
    </row>
    <row r="19" spans="2:12">
      <c r="B19" s="8">
        <v>14</v>
      </c>
      <c r="C19" s="195" t="s">
        <v>2433</v>
      </c>
      <c r="D19" s="195" t="s">
        <v>2434</v>
      </c>
      <c r="E19" s="195" t="s">
        <v>1072</v>
      </c>
      <c r="F19" s="195" t="s">
        <v>1072</v>
      </c>
      <c r="G19" s="195" t="s">
        <v>1072</v>
      </c>
      <c r="H19" s="195" t="s">
        <v>1072</v>
      </c>
      <c r="I19" s="195" t="s">
        <v>1053</v>
      </c>
      <c r="J19" s="195" t="s">
        <v>2417</v>
      </c>
      <c r="K19" s="199" t="s">
        <v>2418</v>
      </c>
      <c r="L19" s="195">
        <v>19.2</v>
      </c>
    </row>
    <row r="20" spans="2:12">
      <c r="B20" s="8">
        <v>15</v>
      </c>
      <c r="C20" s="195" t="s">
        <v>2435</v>
      </c>
      <c r="D20" s="195" t="s">
        <v>2436</v>
      </c>
      <c r="E20" s="195" t="s">
        <v>1072</v>
      </c>
      <c r="F20" s="195" t="s">
        <v>1072</v>
      </c>
      <c r="G20" s="195" t="s">
        <v>1072</v>
      </c>
      <c r="H20" s="195" t="s">
        <v>1072</v>
      </c>
      <c r="I20" s="195" t="s">
        <v>1053</v>
      </c>
      <c r="J20" s="195" t="s">
        <v>2417</v>
      </c>
      <c r="K20" s="199" t="s">
        <v>2418</v>
      </c>
      <c r="L20" s="195">
        <v>20.2</v>
      </c>
    </row>
    <row r="21" spans="2:12">
      <c r="B21" s="8">
        <v>16</v>
      </c>
      <c r="C21" s="195" t="s">
        <v>2437</v>
      </c>
      <c r="D21" s="195" t="s">
        <v>2438</v>
      </c>
      <c r="E21" s="195" t="s">
        <v>1072</v>
      </c>
      <c r="F21" s="195" t="s">
        <v>1072</v>
      </c>
      <c r="G21" s="195" t="s">
        <v>1072</v>
      </c>
      <c r="H21" s="195" t="s">
        <v>1072</v>
      </c>
      <c r="I21" s="195" t="s">
        <v>1053</v>
      </c>
      <c r="J21" s="195" t="s">
        <v>2417</v>
      </c>
      <c r="K21" s="199" t="s">
        <v>2418</v>
      </c>
      <c r="L21" s="195">
        <v>21.2</v>
      </c>
    </row>
    <row r="22" spans="2:12">
      <c r="B22" s="8">
        <v>17</v>
      </c>
      <c r="C22" s="195" t="s">
        <v>2439</v>
      </c>
      <c r="D22" s="195" t="s">
        <v>2440</v>
      </c>
      <c r="E22" s="195" t="s">
        <v>1072</v>
      </c>
      <c r="F22" s="195" t="s">
        <v>1072</v>
      </c>
      <c r="G22" s="195" t="s">
        <v>1072</v>
      </c>
      <c r="H22" s="195" t="s">
        <v>1072</v>
      </c>
      <c r="I22" s="195" t="s">
        <v>1053</v>
      </c>
      <c r="J22" s="195" t="s">
        <v>2417</v>
      </c>
      <c r="K22" s="199" t="s">
        <v>2418</v>
      </c>
      <c r="L22" s="195">
        <v>22.2</v>
      </c>
    </row>
  </sheetData>
  <mergeCells count="8">
    <mergeCell ref="B4:C4"/>
    <mergeCell ref="D4:J4"/>
    <mergeCell ref="H3:K3"/>
    <mergeCell ref="D1:L1"/>
    <mergeCell ref="A2:B2"/>
    <mergeCell ref="E2:F2"/>
    <mergeCell ref="B3:C3"/>
    <mergeCell ref="D3:G3"/>
  </mergeCells>
  <phoneticPr fontId="1" type="noConversion"/>
  <hyperlinks>
    <hyperlink ref="B1" location="'Index'!A1" display="INDEX" xr:uid="{E54E7561-E932-47D0-B516-E74C5D0391AE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9BC47-2E21-4DB7-AA4A-196098270FA9}">
  <sheetPr>
    <tabColor theme="7" tint="0.79998168889431442"/>
  </sheetPr>
  <dimension ref="A1:M26"/>
  <sheetViews>
    <sheetView topLeftCell="A4" workbookViewId="0">
      <selection activeCell="K9" sqref="K9:K22"/>
    </sheetView>
  </sheetViews>
  <sheetFormatPr defaultColWidth="8.75" defaultRowHeight="16.5"/>
  <cols>
    <col min="1" max="1" width="8.75" style="40"/>
    <col min="2" max="2" width="6.875" style="40" bestFit="1" customWidth="1"/>
    <col min="3" max="3" width="13.5" style="40" bestFit="1" customWidth="1"/>
    <col min="4" max="4" width="16" style="40" customWidth="1"/>
    <col min="5" max="5" width="3.75" style="40" bestFit="1" customWidth="1"/>
    <col min="6" max="6" width="3.5" style="40" bestFit="1" customWidth="1"/>
    <col min="7" max="7" width="9.25" style="40" bestFit="1" customWidth="1"/>
    <col min="8" max="8" width="8.75" style="40" bestFit="1" customWidth="1"/>
    <col min="9" max="9" width="9.625" style="40" bestFit="1" customWidth="1"/>
    <col min="10" max="10" width="7.375" style="40" bestFit="1" customWidth="1"/>
    <col min="11" max="11" width="31.5" style="40" bestFit="1" customWidth="1"/>
    <col min="12" max="12" width="12.625" style="40" bestFit="1" customWidth="1"/>
    <col min="13" max="13" width="42.625" style="40" customWidth="1"/>
    <col min="14" max="16384" width="8.75" style="40"/>
  </cols>
  <sheetData>
    <row r="1" spans="1:13" ht="20.25">
      <c r="A1" s="275"/>
      <c r="B1" s="276" t="s">
        <v>1492</v>
      </c>
      <c r="C1" s="277"/>
      <c r="D1" s="507" t="s">
        <v>1413</v>
      </c>
      <c r="E1" s="507"/>
      <c r="F1" s="507"/>
      <c r="G1" s="507"/>
      <c r="H1" s="507"/>
      <c r="I1" s="507"/>
      <c r="J1" s="507"/>
      <c r="K1" s="507"/>
      <c r="L1" s="507"/>
      <c r="M1" s="273"/>
    </row>
    <row r="2" spans="1:13">
      <c r="A2" s="508"/>
      <c r="B2" s="508"/>
      <c r="C2" s="275"/>
      <c r="D2" s="275"/>
      <c r="E2" s="509" t="s">
        <v>1072</v>
      </c>
      <c r="F2" s="509"/>
      <c r="G2" s="275"/>
      <c r="H2" s="275"/>
      <c r="I2" s="275"/>
      <c r="J2" s="275"/>
      <c r="K2" s="275"/>
      <c r="L2" s="278"/>
      <c r="M2" s="273"/>
    </row>
    <row r="3" spans="1:13">
      <c r="A3" s="275"/>
      <c r="B3" s="484" t="s">
        <v>1493</v>
      </c>
      <c r="C3" s="486"/>
      <c r="D3" s="485" t="s">
        <v>2441</v>
      </c>
      <c r="E3" s="485"/>
      <c r="F3" s="485"/>
      <c r="G3" s="485"/>
      <c r="H3" s="503" t="s">
        <v>2442</v>
      </c>
      <c r="I3" s="503"/>
      <c r="J3" s="503"/>
      <c r="K3" s="503"/>
      <c r="L3" s="106"/>
      <c r="M3" s="273"/>
    </row>
    <row r="4" spans="1:13">
      <c r="A4" s="275"/>
      <c r="B4" s="504" t="s">
        <v>1231</v>
      </c>
      <c r="C4" s="505"/>
      <c r="D4" s="506" t="s">
        <v>1398</v>
      </c>
      <c r="E4" s="506"/>
      <c r="F4" s="506"/>
      <c r="G4" s="506"/>
      <c r="H4" s="506"/>
      <c r="I4" s="506"/>
      <c r="J4" s="505"/>
      <c r="K4" s="106"/>
      <c r="L4" s="106"/>
      <c r="M4" s="273"/>
    </row>
    <row r="5" spans="1:13">
      <c r="A5" s="275"/>
      <c r="B5" s="279" t="s">
        <v>1494</v>
      </c>
      <c r="C5" s="279" t="s">
        <v>14</v>
      </c>
      <c r="D5" s="279" t="s">
        <v>15</v>
      </c>
      <c r="E5" s="279" t="s">
        <v>928</v>
      </c>
      <c r="F5" s="279" t="s">
        <v>929</v>
      </c>
      <c r="G5" s="279" t="s">
        <v>930</v>
      </c>
      <c r="H5" s="279" t="s">
        <v>931</v>
      </c>
      <c r="I5" s="279" t="s">
        <v>932</v>
      </c>
      <c r="J5" s="279" t="s">
        <v>933</v>
      </c>
      <c r="K5" s="279" t="s">
        <v>934</v>
      </c>
      <c r="L5" s="279" t="s">
        <v>935</v>
      </c>
      <c r="M5" s="273"/>
    </row>
    <row r="6" spans="1:13">
      <c r="A6" s="40" t="s">
        <v>1650</v>
      </c>
      <c r="B6" s="8">
        <v>1</v>
      </c>
      <c r="C6" s="283" t="s">
        <v>1515</v>
      </c>
      <c r="D6" s="284" t="s">
        <v>1546</v>
      </c>
      <c r="E6" s="283" t="s">
        <v>1065</v>
      </c>
      <c r="F6" s="283"/>
      <c r="G6" s="283"/>
      <c r="H6" s="283" t="s">
        <v>1065</v>
      </c>
      <c r="I6" s="283" t="s">
        <v>947</v>
      </c>
      <c r="J6" s="283">
        <v>20</v>
      </c>
      <c r="K6" s="289"/>
      <c r="L6" s="290"/>
    </row>
    <row r="7" spans="1:13">
      <c r="A7" s="275"/>
      <c r="B7" s="89">
        <v>2</v>
      </c>
      <c r="C7" s="291" t="s">
        <v>270</v>
      </c>
      <c r="D7" s="292" t="s">
        <v>2003</v>
      </c>
      <c r="E7" s="293" t="s">
        <v>1065</v>
      </c>
      <c r="F7" s="293" t="s">
        <v>1072</v>
      </c>
      <c r="G7" s="293" t="s">
        <v>1072</v>
      </c>
      <c r="H7" s="293" t="s">
        <v>1065</v>
      </c>
      <c r="I7" s="293" t="s">
        <v>947</v>
      </c>
      <c r="J7" s="293">
        <v>4</v>
      </c>
      <c r="K7" s="294" t="s">
        <v>1072</v>
      </c>
      <c r="L7" s="294">
        <v>2025</v>
      </c>
      <c r="M7" s="280" t="s">
        <v>2443</v>
      </c>
    </row>
    <row r="8" spans="1:13">
      <c r="A8" s="275"/>
      <c r="B8" s="8">
        <v>3</v>
      </c>
      <c r="C8" s="267" t="s">
        <v>2358</v>
      </c>
      <c r="D8" s="268" t="s">
        <v>2409</v>
      </c>
      <c r="E8" s="267" t="s">
        <v>1065</v>
      </c>
      <c r="F8" s="267" t="s">
        <v>1072</v>
      </c>
      <c r="G8" s="267" t="s">
        <v>1072</v>
      </c>
      <c r="H8" s="267" t="s">
        <v>1065</v>
      </c>
      <c r="I8" s="267" t="s">
        <v>947</v>
      </c>
      <c r="J8" s="267">
        <v>6</v>
      </c>
      <c r="K8" s="269" t="s">
        <v>1072</v>
      </c>
      <c r="L8" s="270">
        <v>202504</v>
      </c>
      <c r="M8" s="273"/>
    </row>
    <row r="9" spans="1:13">
      <c r="A9" s="275"/>
      <c r="B9" s="89">
        <v>4</v>
      </c>
      <c r="C9" s="267" t="s">
        <v>122</v>
      </c>
      <c r="D9" s="414" t="s">
        <v>1691</v>
      </c>
      <c r="E9" s="267" t="s">
        <v>1065</v>
      </c>
      <c r="F9" s="267" t="s">
        <v>1072</v>
      </c>
      <c r="G9" s="267" t="s">
        <v>1072</v>
      </c>
      <c r="H9" s="267" t="s">
        <v>1065</v>
      </c>
      <c r="I9" s="267" t="s">
        <v>947</v>
      </c>
      <c r="J9" s="267">
        <v>10</v>
      </c>
      <c r="K9" s="271" t="s">
        <v>2410</v>
      </c>
      <c r="L9" s="272" t="s">
        <v>1072</v>
      </c>
      <c r="M9" s="273"/>
    </row>
    <row r="10" spans="1:13">
      <c r="A10" s="275"/>
      <c r="B10" s="8">
        <v>5</v>
      </c>
      <c r="C10" s="267" t="s">
        <v>2411</v>
      </c>
      <c r="D10" s="267" t="s">
        <v>2412</v>
      </c>
      <c r="E10" s="267" t="s">
        <v>1065</v>
      </c>
      <c r="F10" s="267" t="s">
        <v>1072</v>
      </c>
      <c r="G10" s="267" t="s">
        <v>1072</v>
      </c>
      <c r="H10" s="267" t="s">
        <v>1065</v>
      </c>
      <c r="I10" s="267" t="s">
        <v>947</v>
      </c>
      <c r="J10" s="267">
        <v>1</v>
      </c>
      <c r="K10" s="273" t="s">
        <v>2413</v>
      </c>
      <c r="L10" s="72" t="s">
        <v>2414</v>
      </c>
      <c r="M10" s="273"/>
    </row>
    <row r="11" spans="1:13">
      <c r="A11" s="275"/>
      <c r="B11" s="89">
        <v>6</v>
      </c>
      <c r="C11" s="267" t="s">
        <v>2415</v>
      </c>
      <c r="D11" s="267" t="s">
        <v>2416</v>
      </c>
      <c r="E11" s="267" t="s">
        <v>1072</v>
      </c>
      <c r="F11" s="267" t="s">
        <v>1072</v>
      </c>
      <c r="G11" s="267" t="s">
        <v>1072</v>
      </c>
      <c r="H11" s="267" t="s">
        <v>1072</v>
      </c>
      <c r="I11" s="267" t="s">
        <v>1053</v>
      </c>
      <c r="J11" s="267" t="s">
        <v>2417</v>
      </c>
      <c r="K11" s="274" t="s">
        <v>2418</v>
      </c>
      <c r="L11" s="267">
        <v>11.2</v>
      </c>
      <c r="M11" s="273"/>
    </row>
    <row r="12" spans="1:13">
      <c r="A12" s="275"/>
      <c r="B12" s="8">
        <v>7</v>
      </c>
      <c r="C12" s="267" t="s">
        <v>2419</v>
      </c>
      <c r="D12" s="267" t="s">
        <v>2420</v>
      </c>
      <c r="E12" s="267" t="s">
        <v>1072</v>
      </c>
      <c r="F12" s="267" t="s">
        <v>1072</v>
      </c>
      <c r="G12" s="267" t="s">
        <v>1072</v>
      </c>
      <c r="H12" s="267" t="s">
        <v>1072</v>
      </c>
      <c r="I12" s="267" t="s">
        <v>1053</v>
      </c>
      <c r="J12" s="267" t="s">
        <v>2417</v>
      </c>
      <c r="K12" s="274" t="s">
        <v>2418</v>
      </c>
      <c r="L12" s="267">
        <v>12.2</v>
      </c>
      <c r="M12" s="273"/>
    </row>
    <row r="13" spans="1:13">
      <c r="B13" s="89">
        <v>8</v>
      </c>
      <c r="C13" s="267" t="s">
        <v>2421</v>
      </c>
      <c r="D13" s="267" t="s">
        <v>2422</v>
      </c>
      <c r="E13" s="267" t="s">
        <v>1072</v>
      </c>
      <c r="F13" s="267" t="s">
        <v>1072</v>
      </c>
      <c r="G13" s="267" t="s">
        <v>1072</v>
      </c>
      <c r="H13" s="267" t="s">
        <v>1072</v>
      </c>
      <c r="I13" s="267" t="s">
        <v>1053</v>
      </c>
      <c r="J13" s="267" t="s">
        <v>2417</v>
      </c>
      <c r="K13" s="274" t="s">
        <v>2418</v>
      </c>
      <c r="L13" s="267">
        <v>13.2</v>
      </c>
    </row>
    <row r="14" spans="1:13">
      <c r="B14" s="8">
        <v>9</v>
      </c>
      <c r="C14" s="267" t="s">
        <v>2423</v>
      </c>
      <c r="D14" s="267" t="s">
        <v>2424</v>
      </c>
      <c r="E14" s="267" t="s">
        <v>1072</v>
      </c>
      <c r="F14" s="267" t="s">
        <v>1072</v>
      </c>
      <c r="G14" s="267" t="s">
        <v>1072</v>
      </c>
      <c r="H14" s="267" t="s">
        <v>1072</v>
      </c>
      <c r="I14" s="267" t="s">
        <v>1053</v>
      </c>
      <c r="J14" s="267" t="s">
        <v>2417</v>
      </c>
      <c r="K14" s="274" t="s">
        <v>2418</v>
      </c>
      <c r="L14" s="267">
        <v>14.2</v>
      </c>
    </row>
    <row r="15" spans="1:13">
      <c r="B15" s="89">
        <v>10</v>
      </c>
      <c r="C15" s="267" t="s">
        <v>2425</v>
      </c>
      <c r="D15" s="267" t="s">
        <v>2426</v>
      </c>
      <c r="E15" s="267" t="s">
        <v>1072</v>
      </c>
      <c r="F15" s="267" t="s">
        <v>1072</v>
      </c>
      <c r="G15" s="267" t="s">
        <v>1072</v>
      </c>
      <c r="H15" s="267" t="s">
        <v>1072</v>
      </c>
      <c r="I15" s="267" t="s">
        <v>1053</v>
      </c>
      <c r="J15" s="267" t="s">
        <v>2417</v>
      </c>
      <c r="K15" s="274" t="s">
        <v>2418</v>
      </c>
      <c r="L15" s="267">
        <v>15.2</v>
      </c>
    </row>
    <row r="16" spans="1:13">
      <c r="B16" s="8">
        <v>11</v>
      </c>
      <c r="C16" s="267" t="s">
        <v>2444</v>
      </c>
      <c r="D16" s="267" t="s">
        <v>2428</v>
      </c>
      <c r="E16" s="267" t="s">
        <v>1072</v>
      </c>
      <c r="F16" s="267" t="s">
        <v>1072</v>
      </c>
      <c r="G16" s="267" t="s">
        <v>1072</v>
      </c>
      <c r="H16" s="267" t="s">
        <v>1072</v>
      </c>
      <c r="I16" s="267" t="s">
        <v>1053</v>
      </c>
      <c r="J16" s="267" t="s">
        <v>2417</v>
      </c>
      <c r="K16" s="274" t="s">
        <v>2418</v>
      </c>
      <c r="L16" s="267">
        <v>16.2</v>
      </c>
    </row>
    <row r="17" spans="2:12">
      <c r="B17" s="89">
        <v>12</v>
      </c>
      <c r="C17" s="267" t="s">
        <v>2444</v>
      </c>
      <c r="D17" s="267" t="s">
        <v>2430</v>
      </c>
      <c r="E17" s="267" t="s">
        <v>1072</v>
      </c>
      <c r="F17" s="267" t="s">
        <v>1072</v>
      </c>
      <c r="G17" s="267" t="s">
        <v>1072</v>
      </c>
      <c r="H17" s="267" t="s">
        <v>1072</v>
      </c>
      <c r="I17" s="267" t="s">
        <v>1053</v>
      </c>
      <c r="J17" s="267" t="s">
        <v>2417</v>
      </c>
      <c r="K17" s="274" t="s">
        <v>2418</v>
      </c>
      <c r="L17" s="267">
        <v>17.2</v>
      </c>
    </row>
    <row r="18" spans="2:12">
      <c r="B18" s="8">
        <v>13</v>
      </c>
      <c r="C18" s="267" t="s">
        <v>2431</v>
      </c>
      <c r="D18" s="267" t="s">
        <v>2432</v>
      </c>
      <c r="E18" s="267" t="s">
        <v>1072</v>
      </c>
      <c r="F18" s="267" t="s">
        <v>1072</v>
      </c>
      <c r="G18" s="267" t="s">
        <v>1072</v>
      </c>
      <c r="H18" s="267" t="s">
        <v>1072</v>
      </c>
      <c r="I18" s="267" t="s">
        <v>1053</v>
      </c>
      <c r="J18" s="267" t="s">
        <v>2417</v>
      </c>
      <c r="K18" s="274" t="s">
        <v>2418</v>
      </c>
      <c r="L18" s="267">
        <v>18.2</v>
      </c>
    </row>
    <row r="19" spans="2:12">
      <c r="B19" s="89">
        <v>14</v>
      </c>
      <c r="C19" s="267" t="s">
        <v>2433</v>
      </c>
      <c r="D19" s="267" t="s">
        <v>2434</v>
      </c>
      <c r="E19" s="267" t="s">
        <v>1072</v>
      </c>
      <c r="F19" s="267" t="s">
        <v>1072</v>
      </c>
      <c r="G19" s="267" t="s">
        <v>1072</v>
      </c>
      <c r="H19" s="267" t="s">
        <v>1072</v>
      </c>
      <c r="I19" s="267" t="s">
        <v>1053</v>
      </c>
      <c r="J19" s="267" t="s">
        <v>2417</v>
      </c>
      <c r="K19" s="274" t="s">
        <v>2418</v>
      </c>
      <c r="L19" s="267">
        <v>19.2</v>
      </c>
    </row>
    <row r="20" spans="2:12">
      <c r="B20" s="8">
        <v>15</v>
      </c>
      <c r="C20" s="267" t="s">
        <v>2435</v>
      </c>
      <c r="D20" s="267" t="s">
        <v>2436</v>
      </c>
      <c r="E20" s="267" t="s">
        <v>1072</v>
      </c>
      <c r="F20" s="267" t="s">
        <v>1072</v>
      </c>
      <c r="G20" s="267" t="s">
        <v>1072</v>
      </c>
      <c r="H20" s="267" t="s">
        <v>1072</v>
      </c>
      <c r="I20" s="267" t="s">
        <v>1053</v>
      </c>
      <c r="J20" s="267" t="s">
        <v>2417</v>
      </c>
      <c r="K20" s="274" t="s">
        <v>2418</v>
      </c>
      <c r="L20" s="267">
        <v>20.2</v>
      </c>
    </row>
    <row r="21" spans="2:12">
      <c r="B21" s="89">
        <v>16</v>
      </c>
      <c r="C21" s="267" t="s">
        <v>2437</v>
      </c>
      <c r="D21" s="267" t="s">
        <v>2438</v>
      </c>
      <c r="E21" s="267" t="s">
        <v>1072</v>
      </c>
      <c r="F21" s="267" t="s">
        <v>1072</v>
      </c>
      <c r="G21" s="267" t="s">
        <v>1072</v>
      </c>
      <c r="H21" s="267" t="s">
        <v>1072</v>
      </c>
      <c r="I21" s="267" t="s">
        <v>1053</v>
      </c>
      <c r="J21" s="267" t="s">
        <v>2417</v>
      </c>
      <c r="K21" s="274" t="s">
        <v>2418</v>
      </c>
      <c r="L21" s="267">
        <v>21.2</v>
      </c>
    </row>
    <row r="22" spans="2:12">
      <c r="B22" s="8">
        <v>17</v>
      </c>
      <c r="C22" s="267" t="s">
        <v>2439</v>
      </c>
      <c r="D22" s="267" t="s">
        <v>2440</v>
      </c>
      <c r="E22" s="267" t="s">
        <v>1072</v>
      </c>
      <c r="F22" s="267" t="s">
        <v>1072</v>
      </c>
      <c r="G22" s="267" t="s">
        <v>1072</v>
      </c>
      <c r="H22" s="267" t="s">
        <v>1072</v>
      </c>
      <c r="I22" s="267" t="s">
        <v>1053</v>
      </c>
      <c r="J22" s="267" t="s">
        <v>2417</v>
      </c>
      <c r="K22" s="274" t="s">
        <v>2418</v>
      </c>
      <c r="L22" s="267">
        <v>22.2</v>
      </c>
    </row>
    <row r="23" spans="2:12">
      <c r="B23" s="89">
        <v>18</v>
      </c>
      <c r="C23" s="20" t="s">
        <v>27</v>
      </c>
      <c r="D23" s="20" t="s">
        <v>28</v>
      </c>
      <c r="E23" s="20" t="s">
        <v>1072</v>
      </c>
      <c r="F23" s="20" t="s">
        <v>1072</v>
      </c>
      <c r="G23" s="20" t="s">
        <v>1072</v>
      </c>
      <c r="H23" s="20" t="s">
        <v>1072</v>
      </c>
      <c r="I23" s="20" t="s">
        <v>951</v>
      </c>
      <c r="J23" s="20"/>
      <c r="K23" s="30" t="s">
        <v>1511</v>
      </c>
      <c r="L23" s="44" t="s">
        <v>1072</v>
      </c>
    </row>
    <row r="24" spans="2:12">
      <c r="B24" s="8">
        <v>19</v>
      </c>
      <c r="C24" s="20" t="s">
        <v>33</v>
      </c>
      <c r="D24" s="20" t="s">
        <v>34</v>
      </c>
      <c r="E24" s="20" t="s">
        <v>1072</v>
      </c>
      <c r="F24" s="20" t="s">
        <v>1072</v>
      </c>
      <c r="G24" s="20" t="s">
        <v>1072</v>
      </c>
      <c r="H24" s="20" t="s">
        <v>1072</v>
      </c>
      <c r="I24" s="20" t="s">
        <v>947</v>
      </c>
      <c r="J24" s="20"/>
      <c r="K24" s="30" t="s">
        <v>1511</v>
      </c>
      <c r="L24" s="44" t="s">
        <v>1072</v>
      </c>
    </row>
    <row r="25" spans="2:12">
      <c r="B25" s="89">
        <v>20</v>
      </c>
      <c r="C25" s="20" t="s">
        <v>37</v>
      </c>
      <c r="D25" s="20" t="s">
        <v>38</v>
      </c>
      <c r="E25" s="20" t="s">
        <v>1072</v>
      </c>
      <c r="F25" s="20" t="s">
        <v>1072</v>
      </c>
      <c r="G25" s="20" t="s">
        <v>1072</v>
      </c>
      <c r="H25" s="20" t="s">
        <v>1072</v>
      </c>
      <c r="I25" s="20" t="s">
        <v>951</v>
      </c>
      <c r="J25" s="20"/>
      <c r="K25" s="30" t="s">
        <v>1511</v>
      </c>
      <c r="L25" s="44" t="s">
        <v>1072</v>
      </c>
    </row>
    <row r="26" spans="2:12">
      <c r="B26" s="8">
        <v>21</v>
      </c>
      <c r="C26" s="20" t="s">
        <v>43</v>
      </c>
      <c r="D26" s="20" t="s">
        <v>44</v>
      </c>
      <c r="E26" s="20" t="s">
        <v>1072</v>
      </c>
      <c r="F26" s="20" t="s">
        <v>1072</v>
      </c>
      <c r="G26" s="20" t="s">
        <v>1072</v>
      </c>
      <c r="H26" s="20" t="s">
        <v>1072</v>
      </c>
      <c r="I26" s="20" t="s">
        <v>947</v>
      </c>
      <c r="J26" s="20"/>
      <c r="K26" s="30" t="s">
        <v>1511</v>
      </c>
      <c r="L26" s="44" t="s">
        <v>1072</v>
      </c>
    </row>
  </sheetData>
  <mergeCells count="8">
    <mergeCell ref="B4:C4"/>
    <mergeCell ref="D4:J4"/>
    <mergeCell ref="D1:L1"/>
    <mergeCell ref="A2:B2"/>
    <mergeCell ref="E2:F2"/>
    <mergeCell ref="B3:C3"/>
    <mergeCell ref="D3:G3"/>
    <mergeCell ref="H3:K3"/>
  </mergeCells>
  <phoneticPr fontId="1" type="noConversion"/>
  <hyperlinks>
    <hyperlink ref="B1" location="'Index'!A1" display="INDEX" xr:uid="{52BAD49B-6575-4FE9-9D32-7E8B7FBC601A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16170-FE4D-4F10-9D74-1DE989DD6318}">
  <sheetPr codeName="Sheet26">
    <tabColor theme="7" tint="0.79998168889431442"/>
  </sheetPr>
  <dimension ref="A1:M46"/>
  <sheetViews>
    <sheetView workbookViewId="0">
      <selection activeCell="A15" sqref="A15"/>
    </sheetView>
  </sheetViews>
  <sheetFormatPr defaultRowHeight="16.5"/>
  <cols>
    <col min="2" max="2" width="6.875" bestFit="1" customWidth="1"/>
    <col min="3" max="3" width="20.375" bestFit="1" customWidth="1"/>
    <col min="4" max="4" width="19.875" bestFit="1" customWidth="1"/>
    <col min="5" max="5" width="3.75" bestFit="1" customWidth="1"/>
    <col min="6" max="6" width="3.75" customWidth="1"/>
    <col min="7" max="7" width="19.25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3" ht="20.25">
      <c r="A1" s="4"/>
      <c r="B1" s="5" t="s">
        <v>1686</v>
      </c>
      <c r="D1" s="482" t="s">
        <v>1418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1416</v>
      </c>
      <c r="E3" s="495"/>
      <c r="F3" s="495"/>
      <c r="G3" s="496"/>
      <c r="H3" s="495" t="s">
        <v>1417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2357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3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3">
      <c r="A8" s="4"/>
      <c r="B8" s="8">
        <v>3</v>
      </c>
      <c r="C8" s="26" t="s">
        <v>270</v>
      </c>
      <c r="D8" s="415" t="s">
        <v>2409</v>
      </c>
      <c r="E8" s="26"/>
      <c r="F8" s="8"/>
      <c r="G8" s="8"/>
      <c r="H8" s="8" t="s">
        <v>1065</v>
      </c>
      <c r="I8" s="8" t="s">
        <v>947</v>
      </c>
      <c r="J8" s="8">
        <v>4</v>
      </c>
      <c r="K8" s="137"/>
      <c r="L8" s="138"/>
    </row>
    <row r="9" spans="1:13">
      <c r="A9" s="4"/>
      <c r="B9" s="8">
        <v>4</v>
      </c>
      <c r="C9" s="26" t="s">
        <v>1084</v>
      </c>
      <c r="D9" s="416" t="s">
        <v>2445</v>
      </c>
      <c r="E9" s="26"/>
      <c r="F9" s="8"/>
      <c r="G9" s="8"/>
      <c r="H9" s="8" t="s">
        <v>1065</v>
      </c>
      <c r="I9" s="8" t="s">
        <v>947</v>
      </c>
      <c r="J9" s="8">
        <v>2</v>
      </c>
      <c r="K9" s="135"/>
      <c r="L9" s="33"/>
    </row>
    <row r="10" spans="1:13">
      <c r="A10" s="4"/>
      <c r="B10" s="8">
        <v>5</v>
      </c>
      <c r="C10" s="8" t="s">
        <v>122</v>
      </c>
      <c r="D10" s="416" t="s">
        <v>281</v>
      </c>
      <c r="E10" s="26"/>
      <c r="F10" s="26"/>
      <c r="G10" s="8"/>
      <c r="H10" s="8" t="s">
        <v>1065</v>
      </c>
      <c r="I10" s="8" t="s">
        <v>947</v>
      </c>
      <c r="J10" s="8">
        <v>10</v>
      </c>
      <c r="K10" s="31"/>
      <c r="L10" s="8"/>
    </row>
    <row r="11" spans="1:13">
      <c r="A11" s="4"/>
      <c r="B11" s="8">
        <v>6</v>
      </c>
      <c r="C11" s="8" t="s">
        <v>282</v>
      </c>
      <c r="D11" s="8" t="s">
        <v>2446</v>
      </c>
      <c r="E11" s="8"/>
      <c r="F11" s="8"/>
      <c r="G11" s="8"/>
      <c r="H11" s="8"/>
      <c r="I11" s="8" t="s">
        <v>1053</v>
      </c>
      <c r="J11" s="8" t="s">
        <v>1054</v>
      </c>
      <c r="K11" s="31"/>
      <c r="L11" s="32"/>
    </row>
    <row r="12" spans="1:13">
      <c r="A12" s="4"/>
      <c r="B12" s="8">
        <v>7</v>
      </c>
      <c r="C12" s="8" t="s">
        <v>288</v>
      </c>
      <c r="D12" s="8" t="s">
        <v>2447</v>
      </c>
      <c r="E12" s="8"/>
      <c r="F12" s="8"/>
      <c r="G12" s="8"/>
      <c r="H12" s="8"/>
      <c r="I12" s="8" t="s">
        <v>1053</v>
      </c>
      <c r="J12" s="8" t="s">
        <v>1054</v>
      </c>
      <c r="K12" s="31"/>
      <c r="L12" s="32"/>
    </row>
    <row r="13" spans="1:13">
      <c r="A13" s="4"/>
      <c r="B13" s="8">
        <v>8</v>
      </c>
      <c r="C13" s="8" t="s">
        <v>297</v>
      </c>
      <c r="D13" s="8" t="s">
        <v>2448</v>
      </c>
      <c r="E13" s="8"/>
      <c r="F13" s="8"/>
      <c r="G13" s="8"/>
      <c r="H13" s="8"/>
      <c r="I13" s="8" t="s">
        <v>1053</v>
      </c>
      <c r="J13" s="8" t="s">
        <v>1054</v>
      </c>
      <c r="K13" s="31"/>
      <c r="L13" s="32"/>
    </row>
    <row r="14" spans="1:13">
      <c r="A14" s="4"/>
      <c r="B14" s="8">
        <v>9</v>
      </c>
      <c r="C14" s="8" t="s">
        <v>306</v>
      </c>
      <c r="D14" s="8" t="s">
        <v>2449</v>
      </c>
      <c r="E14" s="8"/>
      <c r="F14" s="8"/>
      <c r="G14" s="8"/>
      <c r="H14" s="8"/>
      <c r="I14" s="8" t="s">
        <v>1053</v>
      </c>
      <c r="J14" s="8" t="s">
        <v>1054</v>
      </c>
      <c r="K14" s="31"/>
      <c r="L14" s="32"/>
    </row>
    <row r="15" spans="1:13">
      <c r="A15" s="4"/>
      <c r="B15" s="8">
        <v>10</v>
      </c>
      <c r="C15" s="8" t="s">
        <v>2450</v>
      </c>
      <c r="D15" s="8" t="s">
        <v>2451</v>
      </c>
      <c r="E15" s="8"/>
      <c r="F15" s="8"/>
      <c r="G15" s="8"/>
      <c r="H15" s="8"/>
      <c r="I15" s="8" t="s">
        <v>1053</v>
      </c>
      <c r="J15" s="8" t="s">
        <v>1054</v>
      </c>
      <c r="K15" s="31"/>
      <c r="L15" s="32"/>
    </row>
    <row r="16" spans="1:13">
      <c r="A16" s="4"/>
      <c r="B16" s="8">
        <v>11</v>
      </c>
      <c r="C16" s="8" t="s">
        <v>2452</v>
      </c>
      <c r="D16" s="8" t="s">
        <v>2453</v>
      </c>
      <c r="E16" s="8"/>
      <c r="F16" s="8"/>
      <c r="G16" s="8"/>
      <c r="H16" s="8"/>
      <c r="I16" s="8" t="s">
        <v>1053</v>
      </c>
      <c r="J16" s="8" t="s">
        <v>1054</v>
      </c>
      <c r="K16" s="31"/>
      <c r="L16" s="32"/>
    </row>
    <row r="17" spans="1:12">
      <c r="A17" s="4"/>
      <c r="B17" s="8">
        <v>12</v>
      </c>
      <c r="C17" s="8" t="s">
        <v>2454</v>
      </c>
      <c r="D17" s="8" t="s">
        <v>2455</v>
      </c>
      <c r="E17" s="8"/>
      <c r="F17" s="8"/>
      <c r="G17" s="8"/>
      <c r="H17" s="8"/>
      <c r="I17" s="8" t="s">
        <v>1053</v>
      </c>
      <c r="J17" s="8" t="s">
        <v>1054</v>
      </c>
      <c r="K17" s="31"/>
      <c r="L17" s="32"/>
    </row>
    <row r="18" spans="1:12">
      <c r="A18" s="4"/>
      <c r="B18" s="8">
        <v>13</v>
      </c>
      <c r="C18" s="8" t="s">
        <v>2456</v>
      </c>
      <c r="D18" s="8" t="s">
        <v>2457</v>
      </c>
      <c r="E18" s="8"/>
      <c r="F18" s="8"/>
      <c r="G18" s="8"/>
      <c r="H18" s="8"/>
      <c r="I18" s="8" t="s">
        <v>1053</v>
      </c>
      <c r="J18" s="8" t="s">
        <v>1054</v>
      </c>
      <c r="K18" s="33"/>
      <c r="L18" s="32"/>
    </row>
    <row r="19" spans="1:12">
      <c r="A19" s="4"/>
      <c r="B19" s="8">
        <v>14</v>
      </c>
      <c r="C19" s="8" t="s">
        <v>2458</v>
      </c>
      <c r="D19" s="8" t="s">
        <v>2459</v>
      </c>
      <c r="E19" s="8"/>
      <c r="F19" s="8"/>
      <c r="G19" s="8"/>
      <c r="H19" s="8"/>
      <c r="I19" s="8" t="s">
        <v>1053</v>
      </c>
      <c r="J19" s="8" t="s">
        <v>1054</v>
      </c>
      <c r="K19" s="33"/>
      <c r="L19" s="32"/>
    </row>
    <row r="20" spans="1:12">
      <c r="A20" s="4"/>
      <c r="B20" s="8">
        <v>15</v>
      </c>
      <c r="C20" s="8" t="s">
        <v>2460</v>
      </c>
      <c r="D20" s="8" t="s">
        <v>2461</v>
      </c>
      <c r="E20" s="8"/>
      <c r="F20" s="8"/>
      <c r="G20" s="8"/>
      <c r="H20" s="8"/>
      <c r="I20" s="8" t="s">
        <v>1053</v>
      </c>
      <c r="J20" s="8" t="s">
        <v>1054</v>
      </c>
      <c r="K20" s="33"/>
      <c r="L20" s="32"/>
    </row>
    <row r="21" spans="1:12">
      <c r="A21" s="4"/>
      <c r="B21" s="8">
        <v>16</v>
      </c>
      <c r="C21" s="8" t="s">
        <v>2462</v>
      </c>
      <c r="D21" s="8" t="s">
        <v>2463</v>
      </c>
      <c r="E21" s="8"/>
      <c r="F21" s="8"/>
      <c r="G21" s="8"/>
      <c r="H21" s="8"/>
      <c r="I21" s="8" t="s">
        <v>1053</v>
      </c>
      <c r="J21" s="8" t="s">
        <v>1054</v>
      </c>
      <c r="K21" s="33"/>
      <c r="L21" s="32"/>
    </row>
    <row r="22" spans="1:12">
      <c r="A22" s="4"/>
      <c r="B22" s="8">
        <v>17</v>
      </c>
      <c r="C22" s="21" t="s">
        <v>2464</v>
      </c>
      <c r="D22" s="21" t="s">
        <v>2465</v>
      </c>
      <c r="E22" s="21"/>
      <c r="F22" s="21"/>
      <c r="G22" s="21"/>
      <c r="H22" s="21"/>
      <c r="I22" s="21" t="s">
        <v>1053</v>
      </c>
      <c r="J22" s="21" t="s">
        <v>1054</v>
      </c>
      <c r="K22" s="35"/>
      <c r="L22" s="36"/>
    </row>
    <row r="23" spans="1:12">
      <c r="B23" s="8">
        <v>18</v>
      </c>
      <c r="C23" s="350" t="s">
        <v>2466</v>
      </c>
      <c r="D23" s="202" t="s">
        <v>2467</v>
      </c>
      <c r="E23" s="351"/>
      <c r="F23" s="351"/>
      <c r="G23" s="351"/>
      <c r="H23" s="351"/>
      <c r="I23" s="350" t="s">
        <v>1614</v>
      </c>
      <c r="J23" s="351"/>
      <c r="K23" s="160"/>
      <c r="L23" s="160"/>
    </row>
    <row r="24" spans="1:12">
      <c r="B24" s="8">
        <v>19</v>
      </c>
      <c r="C24" s="350" t="s">
        <v>2468</v>
      </c>
      <c r="D24" s="202" t="s">
        <v>2469</v>
      </c>
      <c r="E24" s="351"/>
      <c r="F24" s="351"/>
      <c r="G24" s="351"/>
      <c r="H24" s="351"/>
      <c r="I24" s="350" t="s">
        <v>1614</v>
      </c>
      <c r="J24" s="351"/>
      <c r="K24" s="160"/>
      <c r="L24" s="160"/>
    </row>
    <row r="25" spans="1:12">
      <c r="B25" s="8">
        <v>20</v>
      </c>
      <c r="C25" s="350" t="s">
        <v>2470</v>
      </c>
      <c r="D25" s="202" t="s">
        <v>2471</v>
      </c>
      <c r="E25" s="351"/>
      <c r="F25" s="351"/>
      <c r="G25" s="351"/>
      <c r="H25" s="351"/>
      <c r="I25" s="350" t="s">
        <v>1614</v>
      </c>
      <c r="J25" s="351"/>
      <c r="K25" s="160"/>
      <c r="L25" s="160"/>
    </row>
    <row r="26" spans="1:12">
      <c r="B26" s="8">
        <v>21</v>
      </c>
      <c r="C26" s="350" t="s">
        <v>2472</v>
      </c>
      <c r="D26" s="202" t="s">
        <v>2473</v>
      </c>
      <c r="E26" s="351"/>
      <c r="F26" s="351"/>
      <c r="G26" s="351"/>
      <c r="H26" s="351"/>
      <c r="I26" s="350" t="s">
        <v>1614</v>
      </c>
      <c r="J26" s="351"/>
      <c r="K26" s="160"/>
      <c r="L26" s="160"/>
    </row>
    <row r="27" spans="1:12">
      <c r="B27" s="8">
        <v>22</v>
      </c>
      <c r="C27" s="350" t="s">
        <v>2474</v>
      </c>
      <c r="D27" s="202" t="s">
        <v>2475</v>
      </c>
      <c r="E27" s="351"/>
      <c r="F27" s="351"/>
      <c r="G27" s="351"/>
      <c r="H27" s="351"/>
      <c r="I27" s="350" t="s">
        <v>1614</v>
      </c>
      <c r="J27" s="351"/>
      <c r="K27" s="160"/>
      <c r="L27" s="160"/>
    </row>
    <row r="28" spans="1:12">
      <c r="B28" s="8">
        <v>23</v>
      </c>
      <c r="C28" s="350" t="s">
        <v>2476</v>
      </c>
      <c r="D28" s="202" t="s">
        <v>2477</v>
      </c>
      <c r="E28" s="351"/>
      <c r="F28" s="351"/>
      <c r="G28" s="351"/>
      <c r="H28" s="351"/>
      <c r="I28" s="350" t="s">
        <v>1614</v>
      </c>
      <c r="J28" s="351"/>
      <c r="K28" s="160"/>
      <c r="L28" s="160"/>
    </row>
    <row r="29" spans="1:12">
      <c r="B29" s="8">
        <v>24</v>
      </c>
      <c r="C29" s="350" t="s">
        <v>2478</v>
      </c>
      <c r="D29" s="202" t="s">
        <v>2479</v>
      </c>
      <c r="E29" s="351"/>
      <c r="F29" s="351"/>
      <c r="G29" s="351"/>
      <c r="H29" s="351"/>
      <c r="I29" s="350" t="s">
        <v>1614</v>
      </c>
      <c r="J29" s="351"/>
      <c r="K29" s="160"/>
      <c r="L29" s="160"/>
    </row>
    <row r="30" spans="1:12">
      <c r="B30" s="8">
        <v>25</v>
      </c>
      <c r="C30" s="350" t="s">
        <v>2480</v>
      </c>
      <c r="D30" s="202" t="s">
        <v>2481</v>
      </c>
      <c r="E30" s="351"/>
      <c r="F30" s="351"/>
      <c r="G30" s="351"/>
      <c r="H30" s="351"/>
      <c r="I30" s="350" t="s">
        <v>1614</v>
      </c>
      <c r="J30" s="351"/>
      <c r="K30" s="160"/>
      <c r="L30" s="160"/>
    </row>
    <row r="31" spans="1:12">
      <c r="B31" s="8">
        <v>26</v>
      </c>
      <c r="C31" s="350" t="s">
        <v>2482</v>
      </c>
      <c r="D31" s="202" t="s">
        <v>2483</v>
      </c>
      <c r="E31" s="351"/>
      <c r="F31" s="351"/>
      <c r="G31" s="351"/>
      <c r="H31" s="351"/>
      <c r="I31" s="350" t="s">
        <v>1614</v>
      </c>
      <c r="J31" s="351"/>
      <c r="K31" s="160"/>
      <c r="L31" s="160"/>
    </row>
    <row r="32" spans="1:12">
      <c r="B32" s="8">
        <v>27</v>
      </c>
      <c r="C32" s="350" t="s">
        <v>2484</v>
      </c>
      <c r="D32" s="202" t="s">
        <v>2485</v>
      </c>
      <c r="E32" s="351"/>
      <c r="F32" s="351"/>
      <c r="G32" s="351"/>
      <c r="H32" s="351"/>
      <c r="I32" s="350" t="s">
        <v>1614</v>
      </c>
      <c r="J32" s="351"/>
      <c r="K32" s="160"/>
      <c r="L32" s="160"/>
    </row>
    <row r="33" spans="2:12">
      <c r="B33" s="8">
        <v>28</v>
      </c>
      <c r="C33" s="350" t="s">
        <v>2486</v>
      </c>
      <c r="D33" s="202" t="s">
        <v>2487</v>
      </c>
      <c r="E33" s="351"/>
      <c r="F33" s="351"/>
      <c r="G33" s="351"/>
      <c r="H33" s="351"/>
      <c r="I33" s="350" t="s">
        <v>1614</v>
      </c>
      <c r="J33" s="351"/>
      <c r="K33" s="160"/>
      <c r="L33" s="160"/>
    </row>
    <row r="34" spans="2:12">
      <c r="B34" s="8">
        <v>29</v>
      </c>
      <c r="C34" s="350" t="s">
        <v>2488</v>
      </c>
      <c r="D34" s="202" t="s">
        <v>2489</v>
      </c>
      <c r="E34" s="351"/>
      <c r="F34" s="351"/>
      <c r="G34" s="351"/>
      <c r="H34" s="351"/>
      <c r="I34" s="350" t="s">
        <v>1614</v>
      </c>
      <c r="J34" s="351"/>
      <c r="K34" s="160"/>
      <c r="L34" s="160"/>
    </row>
    <row r="35" spans="2:12">
      <c r="B35" s="8">
        <v>30</v>
      </c>
      <c r="C35" s="350" t="s">
        <v>2490</v>
      </c>
      <c r="D35" s="350" t="s">
        <v>2491</v>
      </c>
      <c r="E35" s="351"/>
      <c r="F35" s="351"/>
      <c r="G35" s="351"/>
      <c r="H35" s="351"/>
      <c r="I35" s="350" t="s">
        <v>1053</v>
      </c>
      <c r="J35" s="350" t="s">
        <v>1054</v>
      </c>
      <c r="K35" s="160"/>
      <c r="L35" s="160"/>
    </row>
    <row r="36" spans="2:12">
      <c r="B36" s="8">
        <v>31</v>
      </c>
      <c r="C36" s="350" t="s">
        <v>2492</v>
      </c>
      <c r="D36" s="350" t="s">
        <v>2493</v>
      </c>
      <c r="E36" s="351"/>
      <c r="F36" s="351"/>
      <c r="G36" s="351"/>
      <c r="H36" s="351"/>
      <c r="I36" s="350" t="s">
        <v>1053</v>
      </c>
      <c r="J36" s="350" t="s">
        <v>1054</v>
      </c>
      <c r="K36" s="160"/>
      <c r="L36" s="160"/>
    </row>
    <row r="37" spans="2:12">
      <c r="B37" s="8">
        <v>32</v>
      </c>
      <c r="C37" s="350" t="s">
        <v>2494</v>
      </c>
      <c r="D37" s="350" t="s">
        <v>2495</v>
      </c>
      <c r="E37" s="351"/>
      <c r="F37" s="351"/>
      <c r="G37" s="351"/>
      <c r="H37" s="351"/>
      <c r="I37" s="350" t="s">
        <v>1053</v>
      </c>
      <c r="J37" s="350" t="s">
        <v>1054</v>
      </c>
      <c r="K37" s="160"/>
      <c r="L37" s="160"/>
    </row>
    <row r="38" spans="2:12">
      <c r="B38" s="8">
        <v>33</v>
      </c>
      <c r="C38" s="350" t="s">
        <v>2496</v>
      </c>
      <c r="D38" s="350" t="s">
        <v>2497</v>
      </c>
      <c r="E38" s="351"/>
      <c r="F38" s="351"/>
      <c r="G38" s="351"/>
      <c r="H38" s="351"/>
      <c r="I38" s="350" t="s">
        <v>1053</v>
      </c>
      <c r="J38" s="350" t="s">
        <v>1054</v>
      </c>
      <c r="K38" s="160"/>
      <c r="L38" s="160"/>
    </row>
    <row r="39" spans="2:12">
      <c r="B39" s="8">
        <v>34</v>
      </c>
      <c r="C39" s="350" t="s">
        <v>2498</v>
      </c>
      <c r="D39" s="350" t="s">
        <v>2499</v>
      </c>
      <c r="E39" s="351"/>
      <c r="F39" s="351"/>
      <c r="G39" s="351"/>
      <c r="H39" s="351"/>
      <c r="I39" s="350" t="s">
        <v>1053</v>
      </c>
      <c r="J39" s="350" t="s">
        <v>1054</v>
      </c>
      <c r="K39" s="160"/>
      <c r="L39" s="160"/>
    </row>
    <row r="40" spans="2:12">
      <c r="B40" s="8">
        <v>35</v>
      </c>
      <c r="C40" s="350" t="s">
        <v>2500</v>
      </c>
      <c r="D40" s="350" t="s">
        <v>2501</v>
      </c>
      <c r="E40" s="351"/>
      <c r="F40" s="351"/>
      <c r="G40" s="351"/>
      <c r="H40" s="351"/>
      <c r="I40" s="350" t="s">
        <v>1053</v>
      </c>
      <c r="J40" s="350" t="s">
        <v>1054</v>
      </c>
      <c r="K40" s="160"/>
      <c r="L40" s="160"/>
    </row>
    <row r="41" spans="2:12">
      <c r="B41" s="8">
        <v>36</v>
      </c>
      <c r="C41" s="350" t="s">
        <v>2502</v>
      </c>
      <c r="D41" s="350" t="s">
        <v>2503</v>
      </c>
      <c r="E41" s="351"/>
      <c r="F41" s="351"/>
      <c r="G41" s="351"/>
      <c r="H41" s="351"/>
      <c r="I41" s="350" t="s">
        <v>1053</v>
      </c>
      <c r="J41" s="350" t="s">
        <v>1054</v>
      </c>
      <c r="K41" s="160"/>
      <c r="L41" s="160"/>
    </row>
    <row r="42" spans="2:12">
      <c r="B42" s="8">
        <v>37</v>
      </c>
      <c r="C42" s="350" t="s">
        <v>2504</v>
      </c>
      <c r="D42" s="350" t="s">
        <v>2505</v>
      </c>
      <c r="E42" s="351"/>
      <c r="F42" s="351"/>
      <c r="G42" s="351"/>
      <c r="H42" s="351"/>
      <c r="I42" s="350" t="s">
        <v>1053</v>
      </c>
      <c r="J42" s="350" t="s">
        <v>1054</v>
      </c>
      <c r="K42" s="160"/>
      <c r="L42" s="160"/>
    </row>
    <row r="43" spans="2:12">
      <c r="B43" s="8">
        <v>38</v>
      </c>
      <c r="C43" s="350" t="s">
        <v>2506</v>
      </c>
      <c r="D43" s="350" t="s">
        <v>2507</v>
      </c>
      <c r="E43" s="351"/>
      <c r="F43" s="351"/>
      <c r="G43" s="351"/>
      <c r="H43" s="351"/>
      <c r="I43" s="350" t="s">
        <v>1053</v>
      </c>
      <c r="J43" s="350" t="s">
        <v>1054</v>
      </c>
      <c r="K43" s="160"/>
      <c r="L43" s="160"/>
    </row>
    <row r="44" spans="2:12">
      <c r="B44" s="8">
        <v>39</v>
      </c>
      <c r="C44" s="350" t="s">
        <v>2508</v>
      </c>
      <c r="D44" s="350" t="s">
        <v>2509</v>
      </c>
      <c r="E44" s="351"/>
      <c r="F44" s="351"/>
      <c r="G44" s="351"/>
      <c r="H44" s="351"/>
      <c r="I44" s="350" t="s">
        <v>1053</v>
      </c>
      <c r="J44" s="350" t="s">
        <v>1054</v>
      </c>
      <c r="K44" s="160"/>
      <c r="L44" s="160"/>
    </row>
    <row r="45" spans="2:12">
      <c r="B45" s="8">
        <v>40</v>
      </c>
      <c r="C45" s="350" t="s">
        <v>2510</v>
      </c>
      <c r="D45" s="350" t="s">
        <v>2511</v>
      </c>
      <c r="E45" s="351"/>
      <c r="F45" s="351"/>
      <c r="G45" s="351"/>
      <c r="H45" s="351"/>
      <c r="I45" s="350" t="s">
        <v>1053</v>
      </c>
      <c r="J45" s="350" t="s">
        <v>1054</v>
      </c>
      <c r="K45" s="160"/>
      <c r="L45" s="160"/>
    </row>
    <row r="46" spans="2:12">
      <c r="B46" s="8">
        <v>41</v>
      </c>
      <c r="C46" s="350" t="s">
        <v>2512</v>
      </c>
      <c r="D46" s="350" t="s">
        <v>2513</v>
      </c>
      <c r="E46" s="351"/>
      <c r="F46" s="351"/>
      <c r="G46" s="351"/>
      <c r="H46" s="351"/>
      <c r="I46" s="350" t="s">
        <v>1053</v>
      </c>
      <c r="J46" s="350" t="s">
        <v>1054</v>
      </c>
      <c r="K46" s="160"/>
      <c r="L46" s="160"/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9817D772-169A-40B1-8C88-00F5320E95BC}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D8817-EDC5-40CD-9F1C-6B8E54294E4E}">
  <sheetPr codeName="Sheet27">
    <tabColor theme="7" tint="0.79998168889431442"/>
  </sheetPr>
  <dimension ref="A1:L49"/>
  <sheetViews>
    <sheetView topLeftCell="A9" workbookViewId="0">
      <selection activeCell="D34" sqref="D34"/>
    </sheetView>
  </sheetViews>
  <sheetFormatPr defaultRowHeight="16.5"/>
  <cols>
    <col min="2" max="2" width="6.875" bestFit="1" customWidth="1"/>
    <col min="3" max="3" width="20.375" bestFit="1" customWidth="1"/>
    <col min="4" max="4" width="19.875" bestFit="1" customWidth="1"/>
    <col min="5" max="5" width="3.75" bestFit="1" customWidth="1"/>
    <col min="6" max="6" width="3.75" customWidth="1"/>
    <col min="7" max="7" width="19.5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2" ht="20.25">
      <c r="A1" s="4"/>
      <c r="B1" s="5" t="s">
        <v>1686</v>
      </c>
      <c r="D1" s="482" t="s">
        <v>1423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2514</v>
      </c>
      <c r="E3" s="495"/>
      <c r="F3" s="495"/>
      <c r="G3" s="496"/>
      <c r="H3" s="495" t="s">
        <v>2515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2357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t="s">
        <v>1650</v>
      </c>
      <c r="B6" s="8">
        <v>1</v>
      </c>
      <c r="C6" s="283" t="s">
        <v>1515</v>
      </c>
      <c r="D6" s="284" t="s">
        <v>1546</v>
      </c>
      <c r="E6" s="283" t="s">
        <v>1065</v>
      </c>
      <c r="F6" s="283"/>
      <c r="G6" s="283"/>
      <c r="H6" s="283" t="s">
        <v>1065</v>
      </c>
      <c r="I6" s="283" t="s">
        <v>947</v>
      </c>
      <c r="J6" s="283">
        <v>20</v>
      </c>
      <c r="K6" s="139"/>
      <c r="L6" s="138"/>
    </row>
    <row r="7" spans="1:12">
      <c r="A7" s="4"/>
      <c r="B7" s="8">
        <v>2</v>
      </c>
      <c r="C7" s="26" t="s">
        <v>270</v>
      </c>
      <c r="D7" s="257" t="s">
        <v>1123</v>
      </c>
      <c r="E7" s="26" t="s">
        <v>2516</v>
      </c>
      <c r="F7" s="8"/>
      <c r="G7" s="8"/>
      <c r="H7" s="8" t="s">
        <v>1065</v>
      </c>
      <c r="I7" s="8" t="s">
        <v>947</v>
      </c>
      <c r="J7" s="8">
        <v>4</v>
      </c>
      <c r="K7" s="137"/>
      <c r="L7" s="138"/>
    </row>
    <row r="8" spans="1:12">
      <c r="A8" s="4"/>
      <c r="B8" s="8">
        <v>3</v>
      </c>
      <c r="C8" s="26" t="s">
        <v>1084</v>
      </c>
      <c r="D8" s="407" t="s">
        <v>1913</v>
      </c>
      <c r="E8" s="26" t="s">
        <v>2516</v>
      </c>
      <c r="F8" s="8"/>
      <c r="G8" s="8"/>
      <c r="H8" s="8" t="s">
        <v>1065</v>
      </c>
      <c r="I8" s="8" t="s">
        <v>947</v>
      </c>
      <c r="J8" s="8">
        <v>2</v>
      </c>
      <c r="K8" s="135"/>
      <c r="L8" s="33"/>
    </row>
    <row r="9" spans="1:12">
      <c r="A9" s="4"/>
      <c r="B9" s="8">
        <v>4</v>
      </c>
      <c r="C9" s="8" t="s">
        <v>122</v>
      </c>
      <c r="D9" s="417" t="s">
        <v>1691</v>
      </c>
      <c r="E9" s="26" t="s">
        <v>2516</v>
      </c>
      <c r="F9" s="26"/>
      <c r="G9" s="404" t="s">
        <v>2517</v>
      </c>
      <c r="H9" s="8" t="s">
        <v>1262</v>
      </c>
      <c r="I9" s="8" t="s">
        <v>947</v>
      </c>
      <c r="J9" s="8">
        <v>10</v>
      </c>
      <c r="K9" s="31"/>
      <c r="L9" s="33"/>
    </row>
    <row r="10" spans="1:12">
      <c r="A10" s="4"/>
      <c r="B10" s="8">
        <v>5</v>
      </c>
      <c r="C10" s="8" t="s">
        <v>282</v>
      </c>
      <c r="D10" s="8" t="s">
        <v>2446</v>
      </c>
      <c r="E10" s="8"/>
      <c r="F10" s="8"/>
      <c r="G10" s="8"/>
      <c r="H10" s="8"/>
      <c r="I10" s="8" t="s">
        <v>1053</v>
      </c>
      <c r="J10" s="8" t="s">
        <v>1054</v>
      </c>
      <c r="K10" s="31"/>
      <c r="L10" s="136"/>
    </row>
    <row r="11" spans="1:12">
      <c r="A11" s="4"/>
      <c r="B11" s="8">
        <v>6</v>
      </c>
      <c r="C11" s="8" t="s">
        <v>288</v>
      </c>
      <c r="D11" s="8" t="s">
        <v>2447</v>
      </c>
      <c r="E11" s="8"/>
      <c r="F11" s="8"/>
      <c r="G11" s="8"/>
      <c r="H11" s="8"/>
      <c r="I11" s="8" t="s">
        <v>1053</v>
      </c>
      <c r="J11" s="8" t="s">
        <v>1054</v>
      </c>
      <c r="K11" s="31"/>
      <c r="L11" s="136"/>
    </row>
    <row r="12" spans="1:12">
      <c r="A12" s="4"/>
      <c r="B12" s="8">
        <v>7</v>
      </c>
      <c r="C12" s="8" t="s">
        <v>297</v>
      </c>
      <c r="D12" s="8" t="s">
        <v>2448</v>
      </c>
      <c r="E12" s="8"/>
      <c r="F12" s="8"/>
      <c r="G12" s="8"/>
      <c r="H12" s="8"/>
      <c r="I12" s="8" t="s">
        <v>1053</v>
      </c>
      <c r="J12" s="8" t="s">
        <v>1054</v>
      </c>
      <c r="K12" s="31"/>
      <c r="L12" s="136"/>
    </row>
    <row r="13" spans="1:12">
      <c r="A13" s="4"/>
      <c r="B13" s="8">
        <v>8</v>
      </c>
      <c r="C13" s="8" t="s">
        <v>306</v>
      </c>
      <c r="D13" s="8" t="s">
        <v>2449</v>
      </c>
      <c r="E13" s="8"/>
      <c r="F13" s="8"/>
      <c r="G13" s="8"/>
      <c r="H13" s="8"/>
      <c r="I13" s="8" t="s">
        <v>1053</v>
      </c>
      <c r="J13" s="8" t="s">
        <v>1054</v>
      </c>
      <c r="K13" s="31"/>
      <c r="L13" s="32"/>
    </row>
    <row r="14" spans="1:12">
      <c r="A14" s="4"/>
      <c r="B14" s="8">
        <v>9</v>
      </c>
      <c r="C14" s="8" t="s">
        <v>2450</v>
      </c>
      <c r="D14" s="8" t="s">
        <v>2451</v>
      </c>
      <c r="E14" s="8"/>
      <c r="F14" s="8"/>
      <c r="G14" s="8"/>
      <c r="H14" s="8"/>
      <c r="I14" s="8" t="s">
        <v>1053</v>
      </c>
      <c r="J14" s="8" t="s">
        <v>1054</v>
      </c>
      <c r="K14" s="31"/>
      <c r="L14" s="32"/>
    </row>
    <row r="15" spans="1:12">
      <c r="A15" s="4"/>
      <c r="B15" s="8">
        <v>10</v>
      </c>
      <c r="C15" s="8" t="s">
        <v>2452</v>
      </c>
      <c r="D15" s="8" t="s">
        <v>2453</v>
      </c>
      <c r="E15" s="8"/>
      <c r="F15" s="8"/>
      <c r="G15" s="8"/>
      <c r="H15" s="8"/>
      <c r="I15" s="8" t="s">
        <v>1053</v>
      </c>
      <c r="J15" s="8" t="s">
        <v>1054</v>
      </c>
      <c r="K15" s="31"/>
      <c r="L15" s="32"/>
    </row>
    <row r="16" spans="1:12">
      <c r="A16" s="4"/>
      <c r="B16" s="8">
        <v>11</v>
      </c>
      <c r="C16" s="8" t="s">
        <v>2454</v>
      </c>
      <c r="D16" s="8" t="s">
        <v>2455</v>
      </c>
      <c r="E16" s="8"/>
      <c r="F16" s="8"/>
      <c r="G16" s="8"/>
      <c r="H16" s="8"/>
      <c r="I16" s="8" t="s">
        <v>1053</v>
      </c>
      <c r="J16" s="8" t="s">
        <v>1054</v>
      </c>
      <c r="K16" s="31"/>
      <c r="L16" s="32"/>
    </row>
    <row r="17" spans="1:12">
      <c r="A17" s="4"/>
      <c r="B17" s="8">
        <v>12</v>
      </c>
      <c r="C17" s="8" t="s">
        <v>2456</v>
      </c>
      <c r="D17" s="8" t="s">
        <v>2457</v>
      </c>
      <c r="E17" s="8"/>
      <c r="F17" s="8"/>
      <c r="G17" s="8"/>
      <c r="H17" s="8"/>
      <c r="I17" s="8" t="s">
        <v>1053</v>
      </c>
      <c r="J17" s="8" t="s">
        <v>1054</v>
      </c>
      <c r="K17" s="33"/>
      <c r="L17" s="32"/>
    </row>
    <row r="18" spans="1:12">
      <c r="A18" s="4"/>
      <c r="B18" s="8">
        <v>13</v>
      </c>
      <c r="C18" s="8" t="s">
        <v>2458</v>
      </c>
      <c r="D18" s="8" t="s">
        <v>2459</v>
      </c>
      <c r="E18" s="8"/>
      <c r="F18" s="8"/>
      <c r="G18" s="8"/>
      <c r="H18" s="8"/>
      <c r="I18" s="8" t="s">
        <v>1053</v>
      </c>
      <c r="J18" s="8" t="s">
        <v>1054</v>
      </c>
      <c r="K18" s="33"/>
      <c r="L18" s="32"/>
    </row>
    <row r="19" spans="1:12">
      <c r="A19" s="4"/>
      <c r="B19" s="8">
        <v>14</v>
      </c>
      <c r="C19" s="8" t="s">
        <v>2460</v>
      </c>
      <c r="D19" s="8" t="s">
        <v>2461</v>
      </c>
      <c r="E19" s="8"/>
      <c r="F19" s="8"/>
      <c r="G19" s="8"/>
      <c r="H19" s="8"/>
      <c r="I19" s="8" t="s">
        <v>1053</v>
      </c>
      <c r="J19" s="8" t="s">
        <v>1054</v>
      </c>
      <c r="K19" s="33"/>
      <c r="L19" s="32"/>
    </row>
    <row r="20" spans="1:12">
      <c r="A20" s="4"/>
      <c r="B20" s="8">
        <v>15</v>
      </c>
      <c r="C20" s="8" t="s">
        <v>2462</v>
      </c>
      <c r="D20" s="8" t="s">
        <v>2463</v>
      </c>
      <c r="E20" s="8"/>
      <c r="F20" s="8"/>
      <c r="G20" s="8"/>
      <c r="H20" s="8"/>
      <c r="I20" s="8" t="s">
        <v>1053</v>
      </c>
      <c r="J20" s="8" t="s">
        <v>1054</v>
      </c>
      <c r="K20" s="33"/>
      <c r="L20" s="32"/>
    </row>
    <row r="21" spans="1:12">
      <c r="A21" s="4"/>
      <c r="B21" s="8">
        <v>16</v>
      </c>
      <c r="C21" s="8" t="s">
        <v>2464</v>
      </c>
      <c r="D21" s="8" t="s">
        <v>2465</v>
      </c>
      <c r="E21" s="8"/>
      <c r="F21" s="8"/>
      <c r="G21" s="8"/>
      <c r="H21" s="8"/>
      <c r="I21" s="8" t="s">
        <v>1053</v>
      </c>
      <c r="J21" s="8" t="s">
        <v>1054</v>
      </c>
      <c r="K21" s="35"/>
      <c r="L21" s="36"/>
    </row>
    <row r="22" spans="1:12">
      <c r="A22" s="4"/>
      <c r="B22" s="8">
        <v>17</v>
      </c>
      <c r="C22" s="8" t="s">
        <v>2518</v>
      </c>
      <c r="D22" s="8" t="s">
        <v>2519</v>
      </c>
      <c r="E22" s="8"/>
      <c r="F22" s="8"/>
      <c r="G22" s="8"/>
      <c r="H22" s="8"/>
      <c r="I22" s="8" t="s">
        <v>967</v>
      </c>
      <c r="J22" s="8"/>
      <c r="K22" s="35"/>
      <c r="L22" s="36"/>
    </row>
    <row r="23" spans="1:12">
      <c r="A23" s="4"/>
      <c r="B23" s="8">
        <v>18</v>
      </c>
      <c r="C23" s="8" t="s">
        <v>2468</v>
      </c>
      <c r="D23" s="8" t="s">
        <v>2520</v>
      </c>
      <c r="E23" s="8"/>
      <c r="F23" s="8"/>
      <c r="G23" s="8"/>
      <c r="H23" s="8"/>
      <c r="I23" s="8" t="s">
        <v>967</v>
      </c>
      <c r="J23" s="8"/>
      <c r="K23" s="35"/>
      <c r="L23" s="36"/>
    </row>
    <row r="24" spans="1:12">
      <c r="A24" s="4"/>
      <c r="B24" s="8">
        <v>19</v>
      </c>
      <c r="C24" s="8" t="s">
        <v>2470</v>
      </c>
      <c r="D24" s="8" t="s">
        <v>2521</v>
      </c>
      <c r="E24" s="8"/>
      <c r="F24" s="8"/>
      <c r="G24" s="8"/>
      <c r="H24" s="8"/>
      <c r="I24" s="8" t="s">
        <v>967</v>
      </c>
      <c r="J24" s="8"/>
      <c r="K24" s="35"/>
      <c r="L24" s="36"/>
    </row>
    <row r="25" spans="1:12">
      <c r="A25" s="4"/>
      <c r="B25" s="8">
        <v>20</v>
      </c>
      <c r="C25" s="8" t="s">
        <v>2472</v>
      </c>
      <c r="D25" s="8" t="s">
        <v>2522</v>
      </c>
      <c r="E25" s="8"/>
      <c r="F25" s="8"/>
      <c r="G25" s="8"/>
      <c r="H25" s="8"/>
      <c r="I25" s="8" t="s">
        <v>967</v>
      </c>
      <c r="J25" s="8"/>
      <c r="K25" s="35"/>
      <c r="L25" s="36"/>
    </row>
    <row r="26" spans="1:12">
      <c r="A26" s="4"/>
      <c r="B26" s="8">
        <v>21</v>
      </c>
      <c r="C26" s="8" t="s">
        <v>2474</v>
      </c>
      <c r="D26" s="8" t="s">
        <v>2523</v>
      </c>
      <c r="E26" s="8"/>
      <c r="F26" s="8"/>
      <c r="G26" s="8"/>
      <c r="H26" s="8"/>
      <c r="I26" s="8" t="s">
        <v>967</v>
      </c>
      <c r="J26" s="8"/>
      <c r="K26" s="35"/>
      <c r="L26" s="36"/>
    </row>
    <row r="27" spans="1:12">
      <c r="A27" s="4"/>
      <c r="B27" s="8">
        <v>22</v>
      </c>
      <c r="C27" s="8" t="s">
        <v>2476</v>
      </c>
      <c r="D27" s="8" t="s">
        <v>2524</v>
      </c>
      <c r="E27" s="8"/>
      <c r="F27" s="8"/>
      <c r="G27" s="8"/>
      <c r="H27" s="8"/>
      <c r="I27" s="8" t="s">
        <v>967</v>
      </c>
      <c r="J27" s="8"/>
      <c r="K27" s="35"/>
      <c r="L27" s="36"/>
    </row>
    <row r="28" spans="1:12">
      <c r="A28" s="4"/>
      <c r="B28" s="8">
        <v>23</v>
      </c>
      <c r="C28" s="8" t="s">
        <v>2478</v>
      </c>
      <c r="D28" s="8" t="s">
        <v>2525</v>
      </c>
      <c r="E28" s="8"/>
      <c r="F28" s="8"/>
      <c r="G28" s="8"/>
      <c r="H28" s="8"/>
      <c r="I28" s="8" t="s">
        <v>967</v>
      </c>
      <c r="J28" s="8"/>
      <c r="K28" s="35"/>
      <c r="L28" s="36"/>
    </row>
    <row r="29" spans="1:12">
      <c r="A29" s="4"/>
      <c r="B29" s="8">
        <v>24</v>
      </c>
      <c r="C29" s="8" t="s">
        <v>2480</v>
      </c>
      <c r="D29" s="8" t="s">
        <v>2526</v>
      </c>
      <c r="E29" s="8"/>
      <c r="F29" s="8"/>
      <c r="G29" s="8"/>
      <c r="H29" s="8"/>
      <c r="I29" s="8" t="s">
        <v>967</v>
      </c>
      <c r="J29" s="8"/>
      <c r="K29" s="35"/>
      <c r="L29" s="36"/>
    </row>
    <row r="30" spans="1:12">
      <c r="A30" s="4"/>
      <c r="B30" s="8">
        <v>25</v>
      </c>
      <c r="C30" s="8" t="s">
        <v>2482</v>
      </c>
      <c r="D30" s="8" t="s">
        <v>2527</v>
      </c>
      <c r="E30" s="8"/>
      <c r="F30" s="8"/>
      <c r="G30" s="8"/>
      <c r="H30" s="8"/>
      <c r="I30" s="8" t="s">
        <v>967</v>
      </c>
      <c r="J30" s="8"/>
      <c r="K30" s="35"/>
      <c r="L30" s="36"/>
    </row>
    <row r="31" spans="1:12">
      <c r="A31" s="4"/>
      <c r="B31" s="8">
        <v>26</v>
      </c>
      <c r="C31" s="8" t="s">
        <v>2484</v>
      </c>
      <c r="D31" s="8" t="s">
        <v>2528</v>
      </c>
      <c r="E31" s="8"/>
      <c r="F31" s="8"/>
      <c r="G31" s="8"/>
      <c r="H31" s="8"/>
      <c r="I31" s="8" t="s">
        <v>967</v>
      </c>
      <c r="J31" s="8"/>
      <c r="K31" s="35"/>
      <c r="L31" s="36"/>
    </row>
    <row r="32" spans="1:12">
      <c r="A32" s="4"/>
      <c r="B32" s="8">
        <v>27</v>
      </c>
      <c r="C32" s="8" t="s">
        <v>2486</v>
      </c>
      <c r="D32" s="8" t="s">
        <v>2529</v>
      </c>
      <c r="E32" s="8"/>
      <c r="F32" s="8"/>
      <c r="G32" s="8"/>
      <c r="H32" s="8"/>
      <c r="I32" s="8" t="s">
        <v>967</v>
      </c>
      <c r="J32" s="8"/>
      <c r="K32" s="35"/>
      <c r="L32" s="36"/>
    </row>
    <row r="33" spans="1:12">
      <c r="A33" s="4"/>
      <c r="B33" s="8">
        <v>28</v>
      </c>
      <c r="C33" s="8" t="s">
        <v>2488</v>
      </c>
      <c r="D33" s="8" t="s">
        <v>2530</v>
      </c>
      <c r="E33" s="8"/>
      <c r="F33" s="8"/>
      <c r="G33" s="8"/>
      <c r="H33" s="8"/>
      <c r="I33" s="8" t="s">
        <v>967</v>
      </c>
      <c r="J33" s="8"/>
      <c r="K33" s="35"/>
      <c r="L33" s="36"/>
    </row>
    <row r="34" spans="1:12">
      <c r="A34" s="4"/>
      <c r="B34" s="8">
        <v>29</v>
      </c>
      <c r="C34" s="8" t="s">
        <v>2490</v>
      </c>
      <c r="D34" s="8" t="s">
        <v>2491</v>
      </c>
      <c r="E34" s="8"/>
      <c r="F34" s="8"/>
      <c r="G34" s="8"/>
      <c r="H34" s="8"/>
      <c r="I34" s="8" t="s">
        <v>1053</v>
      </c>
      <c r="J34" s="8" t="s">
        <v>1054</v>
      </c>
      <c r="K34" s="31"/>
      <c r="L34" s="136"/>
    </row>
    <row r="35" spans="1:12">
      <c r="A35" s="4"/>
      <c r="B35" s="8">
        <v>30</v>
      </c>
      <c r="C35" s="8" t="s">
        <v>2492</v>
      </c>
      <c r="D35" s="8" t="s">
        <v>2493</v>
      </c>
      <c r="E35" s="8"/>
      <c r="F35" s="8"/>
      <c r="G35" s="8"/>
      <c r="H35" s="8"/>
      <c r="I35" s="8" t="s">
        <v>1053</v>
      </c>
      <c r="J35" s="8" t="s">
        <v>1054</v>
      </c>
      <c r="K35" s="31"/>
      <c r="L35" s="136"/>
    </row>
    <row r="36" spans="1:12">
      <c r="A36" s="4"/>
      <c r="B36" s="8">
        <v>31</v>
      </c>
      <c r="C36" s="8" t="s">
        <v>2494</v>
      </c>
      <c r="D36" s="8" t="s">
        <v>2495</v>
      </c>
      <c r="E36" s="8"/>
      <c r="F36" s="8"/>
      <c r="G36" s="8"/>
      <c r="H36" s="8"/>
      <c r="I36" s="8" t="s">
        <v>1053</v>
      </c>
      <c r="J36" s="8" t="s">
        <v>1054</v>
      </c>
      <c r="K36" s="31"/>
      <c r="L36" s="136"/>
    </row>
    <row r="37" spans="1:12">
      <c r="A37" s="4"/>
      <c r="B37" s="8">
        <v>32</v>
      </c>
      <c r="C37" s="8" t="s">
        <v>2496</v>
      </c>
      <c r="D37" s="8" t="s">
        <v>2497</v>
      </c>
      <c r="E37" s="8"/>
      <c r="F37" s="8"/>
      <c r="G37" s="8"/>
      <c r="H37" s="8"/>
      <c r="I37" s="8" t="s">
        <v>1053</v>
      </c>
      <c r="J37" s="8" t="s">
        <v>1054</v>
      </c>
      <c r="K37" s="31"/>
      <c r="L37" s="32"/>
    </row>
    <row r="38" spans="1:12">
      <c r="A38" s="4"/>
      <c r="B38" s="8">
        <v>33</v>
      </c>
      <c r="C38" s="8" t="s">
        <v>2498</v>
      </c>
      <c r="D38" s="8" t="s">
        <v>2499</v>
      </c>
      <c r="E38" s="8"/>
      <c r="F38" s="8"/>
      <c r="G38" s="8"/>
      <c r="H38" s="8"/>
      <c r="I38" s="8" t="s">
        <v>1053</v>
      </c>
      <c r="J38" s="8" t="s">
        <v>1054</v>
      </c>
      <c r="K38" s="31"/>
      <c r="L38" s="32"/>
    </row>
    <row r="39" spans="1:12">
      <c r="A39" s="4"/>
      <c r="B39" s="8">
        <v>34</v>
      </c>
      <c r="C39" s="8" t="s">
        <v>2500</v>
      </c>
      <c r="D39" s="8" t="s">
        <v>2501</v>
      </c>
      <c r="E39" s="8"/>
      <c r="F39" s="8"/>
      <c r="G39" s="8"/>
      <c r="H39" s="8"/>
      <c r="I39" s="8" t="s">
        <v>1053</v>
      </c>
      <c r="J39" s="8" t="s">
        <v>1054</v>
      </c>
      <c r="K39" s="31"/>
      <c r="L39" s="32"/>
    </row>
    <row r="40" spans="1:12">
      <c r="A40" s="4"/>
      <c r="B40" s="8">
        <v>35</v>
      </c>
      <c r="C40" s="8" t="s">
        <v>2502</v>
      </c>
      <c r="D40" s="8" t="s">
        <v>2503</v>
      </c>
      <c r="E40" s="8"/>
      <c r="F40" s="8"/>
      <c r="G40" s="8"/>
      <c r="H40" s="8"/>
      <c r="I40" s="8" t="s">
        <v>1053</v>
      </c>
      <c r="J40" s="8" t="s">
        <v>1054</v>
      </c>
      <c r="K40" s="31"/>
      <c r="L40" s="32"/>
    </row>
    <row r="41" spans="1:12">
      <c r="A41" s="4"/>
      <c r="B41" s="8">
        <v>36</v>
      </c>
      <c r="C41" s="8" t="s">
        <v>2504</v>
      </c>
      <c r="D41" s="8" t="s">
        <v>2505</v>
      </c>
      <c r="E41" s="8"/>
      <c r="F41" s="8"/>
      <c r="G41" s="8"/>
      <c r="H41" s="8"/>
      <c r="I41" s="8" t="s">
        <v>1053</v>
      </c>
      <c r="J41" s="8" t="s">
        <v>1054</v>
      </c>
      <c r="K41" s="33"/>
      <c r="L41" s="32"/>
    </row>
    <row r="42" spans="1:12">
      <c r="A42" s="4"/>
      <c r="B42" s="8">
        <v>37</v>
      </c>
      <c r="C42" s="8" t="s">
        <v>2506</v>
      </c>
      <c r="D42" s="8" t="s">
        <v>2507</v>
      </c>
      <c r="E42" s="8"/>
      <c r="F42" s="8"/>
      <c r="G42" s="8"/>
      <c r="H42" s="8"/>
      <c r="I42" s="8" t="s">
        <v>1053</v>
      </c>
      <c r="J42" s="8" t="s">
        <v>1054</v>
      </c>
      <c r="K42" s="33"/>
      <c r="L42" s="32"/>
    </row>
    <row r="43" spans="1:12">
      <c r="A43" s="4"/>
      <c r="B43" s="8">
        <v>38</v>
      </c>
      <c r="C43" s="8" t="s">
        <v>2508</v>
      </c>
      <c r="D43" s="8" t="s">
        <v>2509</v>
      </c>
      <c r="E43" s="8"/>
      <c r="F43" s="8"/>
      <c r="G43" s="8"/>
      <c r="H43" s="8"/>
      <c r="I43" s="8" t="s">
        <v>1053</v>
      </c>
      <c r="J43" s="8" t="s">
        <v>1054</v>
      </c>
      <c r="K43" s="33"/>
      <c r="L43" s="32"/>
    </row>
    <row r="44" spans="1:12">
      <c r="A44" s="4"/>
      <c r="B44" s="8">
        <v>39</v>
      </c>
      <c r="C44" s="8" t="s">
        <v>2510</v>
      </c>
      <c r="D44" s="8" t="s">
        <v>2511</v>
      </c>
      <c r="E44" s="8"/>
      <c r="F44" s="8"/>
      <c r="G44" s="8"/>
      <c r="H44" s="8"/>
      <c r="I44" s="8" t="s">
        <v>1053</v>
      </c>
      <c r="J44" s="8" t="s">
        <v>1054</v>
      </c>
      <c r="K44" s="33"/>
      <c r="L44" s="32"/>
    </row>
    <row r="45" spans="1:12">
      <c r="A45" s="4"/>
      <c r="B45" s="8">
        <v>40</v>
      </c>
      <c r="C45" s="8" t="s">
        <v>2512</v>
      </c>
      <c r="D45" s="8" t="s">
        <v>2513</v>
      </c>
      <c r="E45" s="8"/>
      <c r="F45" s="8"/>
      <c r="G45" s="8"/>
      <c r="H45" s="8"/>
      <c r="I45" s="8" t="s">
        <v>1053</v>
      </c>
      <c r="J45" s="8" t="s">
        <v>1054</v>
      </c>
      <c r="K45" s="35"/>
      <c r="L45" s="36"/>
    </row>
    <row r="46" spans="1:12">
      <c r="B46" s="8">
        <v>41</v>
      </c>
      <c r="C46" s="20" t="s">
        <v>27</v>
      </c>
      <c r="D46" s="20" t="s">
        <v>28</v>
      </c>
      <c r="E46" s="20" t="s">
        <v>1072</v>
      </c>
      <c r="F46" s="20" t="s">
        <v>1072</v>
      </c>
      <c r="G46" s="20" t="s">
        <v>1072</v>
      </c>
      <c r="H46" s="20" t="s">
        <v>1072</v>
      </c>
      <c r="I46" s="20" t="s">
        <v>951</v>
      </c>
      <c r="J46" s="20"/>
      <c r="K46" s="140" t="s">
        <v>1511</v>
      </c>
      <c r="L46" s="352" t="s">
        <v>1072</v>
      </c>
    </row>
    <row r="47" spans="1:12">
      <c r="B47" s="8">
        <v>42</v>
      </c>
      <c r="C47" s="20" t="s">
        <v>33</v>
      </c>
      <c r="D47" s="20" t="s">
        <v>34</v>
      </c>
      <c r="E47" s="20" t="s">
        <v>1072</v>
      </c>
      <c r="F47" s="20" t="s">
        <v>1072</v>
      </c>
      <c r="G47" s="20" t="s">
        <v>1072</v>
      </c>
      <c r="H47" s="20" t="s">
        <v>1072</v>
      </c>
      <c r="I47" s="20" t="s">
        <v>947</v>
      </c>
      <c r="J47" s="20"/>
      <c r="K47" s="30" t="s">
        <v>1511</v>
      </c>
      <c r="L47" s="44" t="s">
        <v>1072</v>
      </c>
    </row>
    <row r="48" spans="1:12">
      <c r="B48" s="8">
        <v>43</v>
      </c>
      <c r="C48" s="20" t="s">
        <v>37</v>
      </c>
      <c r="D48" s="20" t="s">
        <v>38</v>
      </c>
      <c r="E48" s="20" t="s">
        <v>1072</v>
      </c>
      <c r="F48" s="20" t="s">
        <v>1072</v>
      </c>
      <c r="G48" s="20" t="s">
        <v>1072</v>
      </c>
      <c r="H48" s="20" t="s">
        <v>1072</v>
      </c>
      <c r="I48" s="20" t="s">
        <v>951</v>
      </c>
      <c r="J48" s="20"/>
      <c r="K48" s="30" t="s">
        <v>1511</v>
      </c>
      <c r="L48" s="44" t="s">
        <v>1072</v>
      </c>
    </row>
    <row r="49" spans="2:12">
      <c r="B49" s="8">
        <v>44</v>
      </c>
      <c r="C49" s="20" t="s">
        <v>43</v>
      </c>
      <c r="D49" s="20" t="s">
        <v>44</v>
      </c>
      <c r="E49" s="20" t="s">
        <v>1072</v>
      </c>
      <c r="F49" s="20" t="s">
        <v>1072</v>
      </c>
      <c r="G49" s="20" t="s">
        <v>1072</v>
      </c>
      <c r="H49" s="20" t="s">
        <v>1072</v>
      </c>
      <c r="I49" s="20" t="s">
        <v>947</v>
      </c>
      <c r="J49" s="20"/>
      <c r="K49" s="30" t="s">
        <v>1511</v>
      </c>
      <c r="L49" s="44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7446B62D-B3A8-40CB-B607-5ED68C120900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8BA96-EA90-4B7B-855E-FB0D6D9BCE15}">
  <sheetPr codeName="Sheet29">
    <tabColor theme="7" tint="0.79998168889431442"/>
  </sheetPr>
  <dimension ref="A1:L33"/>
  <sheetViews>
    <sheetView topLeftCell="A15" workbookViewId="0">
      <selection activeCell="A18" sqref="A18"/>
    </sheetView>
  </sheetViews>
  <sheetFormatPr defaultRowHeight="16.5"/>
  <cols>
    <col min="2" max="2" width="4.625" bestFit="1" customWidth="1"/>
    <col min="3" max="3" width="18.625" bestFit="1" customWidth="1"/>
    <col min="4" max="4" width="19.25" bestFit="1" customWidth="1"/>
    <col min="5" max="5" width="3.75" bestFit="1" customWidth="1"/>
    <col min="6" max="6" width="3.5" bestFit="1" customWidth="1"/>
    <col min="7" max="7" width="14.75" bestFit="1" customWidth="1"/>
    <col min="8" max="8" width="8.75" bestFit="1" customWidth="1"/>
    <col min="9" max="9" width="9.625" bestFit="1" customWidth="1"/>
    <col min="10" max="10" width="7.375" bestFit="1" customWidth="1"/>
    <col min="11" max="11" width="45.5" bestFit="1" customWidth="1"/>
    <col min="12" max="12" width="83.375" customWidth="1"/>
  </cols>
  <sheetData>
    <row r="1" spans="1:12" ht="20.25">
      <c r="A1" s="4"/>
      <c r="B1" s="5" t="s">
        <v>1492</v>
      </c>
      <c r="D1" s="482" t="s">
        <v>2531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2532</v>
      </c>
      <c r="E3" s="495"/>
      <c r="F3" s="495"/>
      <c r="G3" s="496"/>
      <c r="H3" s="495" t="s">
        <v>1425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2357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2">
      <c r="A6" t="s">
        <v>1650</v>
      </c>
      <c r="B6" s="8">
        <v>1</v>
      </c>
      <c r="C6" s="300" t="s">
        <v>1515</v>
      </c>
      <c r="D6" s="301" t="s">
        <v>1546</v>
      </c>
      <c r="E6" s="300" t="s">
        <v>1065</v>
      </c>
      <c r="F6" s="300"/>
      <c r="G6" s="300"/>
      <c r="H6" s="300" t="s">
        <v>1065</v>
      </c>
      <c r="I6" s="300" t="s">
        <v>947</v>
      </c>
      <c r="J6" s="300">
        <v>20</v>
      </c>
      <c r="K6" s="139"/>
      <c r="L6" s="138"/>
    </row>
    <row r="7" spans="1:12">
      <c r="B7" s="8">
        <v>2</v>
      </c>
      <c r="C7" s="300" t="s">
        <v>268</v>
      </c>
      <c r="D7" s="301" t="s">
        <v>2037</v>
      </c>
      <c r="E7" s="300"/>
      <c r="F7" s="300"/>
      <c r="G7" s="300"/>
      <c r="H7" s="300"/>
      <c r="I7" s="300" t="s">
        <v>1516</v>
      </c>
      <c r="J7" s="300">
        <v>8</v>
      </c>
      <c r="K7" s="139"/>
      <c r="L7" s="138"/>
    </row>
    <row r="8" spans="1:12">
      <c r="A8" s="4"/>
      <c r="B8" s="297">
        <v>3</v>
      </c>
      <c r="C8" s="296" t="s">
        <v>270</v>
      </c>
      <c r="D8" s="418" t="s">
        <v>273</v>
      </c>
      <c r="E8" s="297" t="s">
        <v>1065</v>
      </c>
      <c r="F8" s="296"/>
      <c r="G8" s="296"/>
      <c r="H8" s="297" t="s">
        <v>1065</v>
      </c>
      <c r="I8" s="297" t="s">
        <v>947</v>
      </c>
      <c r="J8" s="296">
        <v>4</v>
      </c>
      <c r="K8" s="298" t="s">
        <v>273</v>
      </c>
      <c r="L8" s="81"/>
    </row>
    <row r="9" spans="1:12" ht="70.900000000000006" customHeight="1">
      <c r="A9" s="4"/>
      <c r="B9" s="295">
        <v>4</v>
      </c>
      <c r="C9" s="157" t="s">
        <v>274</v>
      </c>
      <c r="D9" s="407" t="s">
        <v>1913</v>
      </c>
      <c r="E9" s="295" t="s">
        <v>1065</v>
      </c>
      <c r="F9" s="157"/>
      <c r="G9" s="157"/>
      <c r="H9" s="295" t="s">
        <v>1065</v>
      </c>
      <c r="I9" s="295" t="s">
        <v>947</v>
      </c>
      <c r="J9" s="157">
        <v>2</v>
      </c>
      <c r="K9" s="299"/>
      <c r="L9" s="248" t="s">
        <v>2533</v>
      </c>
    </row>
    <row r="10" spans="1:12" ht="33">
      <c r="A10" s="4"/>
      <c r="B10" s="8">
        <v>5</v>
      </c>
      <c r="C10" s="157" t="s">
        <v>2534</v>
      </c>
      <c r="D10" s="407" t="s">
        <v>2535</v>
      </c>
      <c r="E10" s="295" t="s">
        <v>1065</v>
      </c>
      <c r="F10" s="157"/>
      <c r="G10" s="157"/>
      <c r="H10" s="295" t="s">
        <v>1065</v>
      </c>
      <c r="I10" s="295" t="s">
        <v>947</v>
      </c>
      <c r="J10" s="157">
        <v>20</v>
      </c>
      <c r="K10" s="299"/>
      <c r="L10" s="248"/>
    </row>
    <row r="11" spans="1:12">
      <c r="A11" s="4"/>
      <c r="B11" s="8">
        <v>6</v>
      </c>
      <c r="C11" s="16" t="s">
        <v>122</v>
      </c>
      <c r="D11" s="15" t="s">
        <v>1691</v>
      </c>
      <c r="E11" s="16" t="s">
        <v>1065</v>
      </c>
      <c r="F11" s="16"/>
      <c r="G11" s="8"/>
      <c r="H11" s="8" t="s">
        <v>1065</v>
      </c>
      <c r="I11" s="8" t="s">
        <v>947</v>
      </c>
      <c r="J11" s="8">
        <v>10</v>
      </c>
      <c r="K11" s="16" t="s">
        <v>1920</v>
      </c>
      <c r="L11" s="33"/>
    </row>
    <row r="12" spans="1:12">
      <c r="A12" s="4"/>
      <c r="B12" s="297">
        <v>7</v>
      </c>
      <c r="C12" s="8" t="s">
        <v>2069</v>
      </c>
      <c r="D12" s="8" t="s">
        <v>2536</v>
      </c>
      <c r="E12" s="8"/>
      <c r="F12" s="8"/>
      <c r="G12" s="8"/>
      <c r="H12" s="8" t="s">
        <v>1065</v>
      </c>
      <c r="I12" s="15" t="s">
        <v>947</v>
      </c>
      <c r="J12" s="8">
        <v>20</v>
      </c>
      <c r="K12" s="33"/>
      <c r="L12" s="33" t="s">
        <v>2070</v>
      </c>
    </row>
    <row r="13" spans="1:12">
      <c r="A13" s="4"/>
      <c r="B13" s="295">
        <v>8</v>
      </c>
      <c r="C13" s="8" t="s">
        <v>284</v>
      </c>
      <c r="D13" s="8" t="s">
        <v>285</v>
      </c>
      <c r="E13" s="8"/>
      <c r="F13" s="8"/>
      <c r="G13" s="8"/>
      <c r="H13" s="8"/>
      <c r="I13" s="15" t="s">
        <v>1027</v>
      </c>
      <c r="J13" s="8"/>
      <c r="K13" s="31"/>
      <c r="L13" s="136"/>
    </row>
    <row r="14" spans="1:12">
      <c r="A14" s="4"/>
      <c r="B14" s="8">
        <v>9</v>
      </c>
      <c r="C14" s="8" t="s">
        <v>290</v>
      </c>
      <c r="D14" s="8" t="s">
        <v>291</v>
      </c>
      <c r="E14" s="8"/>
      <c r="F14" s="8"/>
      <c r="G14" s="8"/>
      <c r="H14" s="8"/>
      <c r="I14" s="15" t="s">
        <v>1027</v>
      </c>
      <c r="J14" s="8"/>
      <c r="K14" s="31"/>
      <c r="L14" s="136"/>
    </row>
    <row r="15" spans="1:12">
      <c r="A15" s="4"/>
      <c r="B15" s="8">
        <v>10</v>
      </c>
      <c r="C15" s="8" t="s">
        <v>2537</v>
      </c>
      <c r="D15" s="8" t="s">
        <v>300</v>
      </c>
      <c r="E15" s="8"/>
      <c r="F15" s="8"/>
      <c r="G15" s="8"/>
      <c r="H15" s="8"/>
      <c r="I15" s="8" t="s">
        <v>1053</v>
      </c>
      <c r="J15" s="8" t="s">
        <v>1054</v>
      </c>
      <c r="K15" s="31"/>
      <c r="L15" s="136"/>
    </row>
    <row r="16" spans="1:12">
      <c r="A16" s="4"/>
      <c r="B16" s="297">
        <v>11</v>
      </c>
      <c r="C16" s="8" t="s">
        <v>308</v>
      </c>
      <c r="D16" s="8" t="s">
        <v>309</v>
      </c>
      <c r="E16" s="8"/>
      <c r="F16" s="8"/>
      <c r="G16" s="8"/>
      <c r="H16" s="8"/>
      <c r="I16" s="8" t="s">
        <v>1053</v>
      </c>
      <c r="J16" s="8" t="s">
        <v>1054</v>
      </c>
      <c r="K16" s="31"/>
      <c r="L16" s="32"/>
    </row>
    <row r="17" spans="1:12">
      <c r="A17" s="4"/>
      <c r="B17" s="295">
        <v>12</v>
      </c>
      <c r="C17" s="8" t="s">
        <v>315</v>
      </c>
      <c r="D17" s="8" t="s">
        <v>2538</v>
      </c>
      <c r="E17" s="8"/>
      <c r="F17" s="8"/>
      <c r="G17" s="8"/>
      <c r="H17" s="8"/>
      <c r="I17" s="8" t="s">
        <v>1053</v>
      </c>
      <c r="J17" s="8" t="s">
        <v>1667</v>
      </c>
      <c r="K17" s="31"/>
      <c r="L17" s="32"/>
    </row>
    <row r="18" spans="1:12">
      <c r="A18" s="4"/>
      <c r="B18" s="8">
        <v>13</v>
      </c>
      <c r="C18" s="15" t="s">
        <v>322</v>
      </c>
      <c r="D18" s="8" t="s">
        <v>526</v>
      </c>
      <c r="E18" s="8"/>
      <c r="F18" s="8"/>
      <c r="G18" s="8"/>
      <c r="H18" s="8"/>
      <c r="I18" s="8" t="s">
        <v>1053</v>
      </c>
      <c r="J18" s="8" t="s">
        <v>1054</v>
      </c>
      <c r="K18" s="31"/>
      <c r="L18" s="32"/>
    </row>
    <row r="19" spans="1:12">
      <c r="A19" s="4"/>
      <c r="B19" s="8">
        <v>14</v>
      </c>
      <c r="C19" s="48" t="s">
        <v>326</v>
      </c>
      <c r="D19" s="8" t="s">
        <v>528</v>
      </c>
      <c r="E19" s="8"/>
      <c r="F19" s="8"/>
      <c r="G19" s="8"/>
      <c r="H19" s="8"/>
      <c r="I19" s="8" t="s">
        <v>1053</v>
      </c>
      <c r="J19" s="8" t="s">
        <v>1054</v>
      </c>
      <c r="K19" s="31"/>
      <c r="L19" s="32"/>
    </row>
    <row r="20" spans="1:12">
      <c r="A20" s="4"/>
      <c r="B20" s="297">
        <v>15</v>
      </c>
      <c r="C20" s="48" t="s">
        <v>332</v>
      </c>
      <c r="D20" s="8" t="s">
        <v>530</v>
      </c>
      <c r="E20" s="8"/>
      <c r="F20" s="8"/>
      <c r="G20" s="8"/>
      <c r="H20" s="8"/>
      <c r="I20" s="8" t="s">
        <v>1053</v>
      </c>
      <c r="J20" s="8" t="s">
        <v>1054</v>
      </c>
      <c r="K20" s="33"/>
      <c r="L20" s="32"/>
    </row>
    <row r="21" spans="1:12">
      <c r="A21" s="4"/>
      <c r="B21" s="295">
        <v>16</v>
      </c>
      <c r="C21" s="48" t="s">
        <v>339</v>
      </c>
      <c r="D21" s="8" t="s">
        <v>532</v>
      </c>
      <c r="E21" s="8"/>
      <c r="F21" s="8"/>
      <c r="G21" s="8"/>
      <c r="H21" s="8"/>
      <c r="I21" s="8" t="s">
        <v>1053</v>
      </c>
      <c r="J21" s="8" t="s">
        <v>1054</v>
      </c>
      <c r="K21" s="33"/>
      <c r="L21" s="32"/>
    </row>
    <row r="22" spans="1:12">
      <c r="A22" s="4"/>
      <c r="B22" s="8">
        <v>17</v>
      </c>
      <c r="C22" s="48" t="s">
        <v>347</v>
      </c>
      <c r="D22" s="8" t="s">
        <v>534</v>
      </c>
      <c r="E22" s="8"/>
      <c r="F22" s="8"/>
      <c r="G22" s="8"/>
      <c r="H22" s="8"/>
      <c r="I22" s="8" t="s">
        <v>1053</v>
      </c>
      <c r="J22" s="8" t="s">
        <v>1054</v>
      </c>
      <c r="K22" s="33"/>
      <c r="L22" s="32"/>
    </row>
    <row r="23" spans="1:12">
      <c r="A23" s="4"/>
      <c r="B23" s="8">
        <v>18</v>
      </c>
      <c r="C23" s="48" t="s">
        <v>355</v>
      </c>
      <c r="D23" s="8" t="s">
        <v>536</v>
      </c>
      <c r="E23" s="8"/>
      <c r="F23" s="8"/>
      <c r="G23" s="8"/>
      <c r="H23" s="8"/>
      <c r="I23" s="8" t="s">
        <v>1053</v>
      </c>
      <c r="J23" s="8" t="s">
        <v>1054</v>
      </c>
      <c r="K23" s="33"/>
      <c r="L23" s="32"/>
    </row>
    <row r="24" spans="1:12">
      <c r="A24" s="4"/>
      <c r="B24" s="297">
        <v>19</v>
      </c>
      <c r="C24" s="48" t="s">
        <v>363</v>
      </c>
      <c r="D24" s="8" t="s">
        <v>538</v>
      </c>
      <c r="E24" s="8"/>
      <c r="F24" s="8"/>
      <c r="G24" s="8"/>
      <c r="H24" s="8"/>
      <c r="I24" s="8" t="s">
        <v>1053</v>
      </c>
      <c r="J24" s="8" t="s">
        <v>1054</v>
      </c>
      <c r="K24" s="33"/>
      <c r="L24" s="32"/>
    </row>
    <row r="25" spans="1:12">
      <c r="A25" s="4"/>
      <c r="B25" s="295">
        <v>20</v>
      </c>
      <c r="C25" s="48" t="s">
        <v>371</v>
      </c>
      <c r="D25" s="8" t="s">
        <v>540</v>
      </c>
      <c r="E25" s="8"/>
      <c r="F25" s="8"/>
      <c r="G25" s="8"/>
      <c r="H25" s="8"/>
      <c r="I25" s="8" t="s">
        <v>1053</v>
      </c>
      <c r="J25" s="8" t="s">
        <v>1054</v>
      </c>
      <c r="K25" s="33"/>
      <c r="L25" s="32"/>
    </row>
    <row r="26" spans="1:12">
      <c r="B26" s="8">
        <v>21</v>
      </c>
      <c r="C26" s="48" t="s">
        <v>379</v>
      </c>
      <c r="D26" s="16" t="s">
        <v>542</v>
      </c>
      <c r="E26" s="16"/>
      <c r="F26" s="16"/>
      <c r="G26" s="16"/>
      <c r="H26" s="16"/>
      <c r="I26" s="8" t="s">
        <v>1053</v>
      </c>
      <c r="J26" s="8" t="s">
        <v>1054</v>
      </c>
      <c r="K26" s="16"/>
      <c r="L26" s="16"/>
    </row>
    <row r="27" spans="1:12">
      <c r="B27" s="8">
        <v>22</v>
      </c>
      <c r="C27" s="48" t="s">
        <v>387</v>
      </c>
      <c r="D27" s="16" t="s">
        <v>544</v>
      </c>
      <c r="E27" s="16"/>
      <c r="F27" s="16"/>
      <c r="G27" s="16"/>
      <c r="H27" s="16"/>
      <c r="I27" s="8" t="s">
        <v>1053</v>
      </c>
      <c r="J27" s="8" t="s">
        <v>1054</v>
      </c>
      <c r="K27" s="16"/>
      <c r="L27" s="16"/>
    </row>
    <row r="28" spans="1:12">
      <c r="B28" s="297">
        <v>23</v>
      </c>
      <c r="C28" s="48" t="s">
        <v>395</v>
      </c>
      <c r="D28" s="16" t="s">
        <v>546</v>
      </c>
      <c r="E28" s="16"/>
      <c r="F28" s="16"/>
      <c r="G28" s="16"/>
      <c r="H28" s="16"/>
      <c r="I28" s="8" t="s">
        <v>1053</v>
      </c>
      <c r="J28" s="8" t="s">
        <v>1054</v>
      </c>
      <c r="K28" s="16"/>
      <c r="L28" s="16"/>
    </row>
    <row r="29" spans="1:12">
      <c r="B29" s="295">
        <v>24</v>
      </c>
      <c r="C29" s="48" t="s">
        <v>403</v>
      </c>
      <c r="D29" s="16" t="s">
        <v>548</v>
      </c>
      <c r="E29" s="16"/>
      <c r="F29" s="16"/>
      <c r="G29" s="16"/>
      <c r="H29" s="16"/>
      <c r="I29" s="8" t="s">
        <v>1053</v>
      </c>
      <c r="J29" s="8" t="s">
        <v>1054</v>
      </c>
      <c r="K29" s="16"/>
      <c r="L29" s="16"/>
    </row>
    <row r="30" spans="1:12">
      <c r="B30" s="8">
        <v>25</v>
      </c>
      <c r="C30" s="20" t="s">
        <v>27</v>
      </c>
      <c r="D30" s="20" t="s">
        <v>28</v>
      </c>
      <c r="E30" s="20" t="s">
        <v>1072</v>
      </c>
      <c r="F30" s="20" t="s">
        <v>1072</v>
      </c>
      <c r="G30" s="20" t="s">
        <v>1072</v>
      </c>
      <c r="H30" s="20" t="s">
        <v>1072</v>
      </c>
      <c r="I30" s="20" t="s">
        <v>951</v>
      </c>
      <c r="J30" s="20"/>
      <c r="K30" s="30" t="s">
        <v>1511</v>
      </c>
      <c r="L30" s="44" t="s">
        <v>1072</v>
      </c>
    </row>
    <row r="31" spans="1:12">
      <c r="B31" s="8">
        <v>26</v>
      </c>
      <c r="C31" s="20" t="s">
        <v>33</v>
      </c>
      <c r="D31" s="20" t="s">
        <v>34</v>
      </c>
      <c r="E31" s="20" t="s">
        <v>1072</v>
      </c>
      <c r="F31" s="20" t="s">
        <v>1072</v>
      </c>
      <c r="G31" s="20" t="s">
        <v>1072</v>
      </c>
      <c r="H31" s="20" t="s">
        <v>1072</v>
      </c>
      <c r="I31" s="20" t="s">
        <v>947</v>
      </c>
      <c r="J31" s="20"/>
      <c r="K31" s="30" t="s">
        <v>1511</v>
      </c>
      <c r="L31" s="44" t="s">
        <v>1072</v>
      </c>
    </row>
    <row r="32" spans="1:12">
      <c r="B32" s="297">
        <v>27</v>
      </c>
      <c r="C32" s="20" t="s">
        <v>37</v>
      </c>
      <c r="D32" s="20" t="s">
        <v>38</v>
      </c>
      <c r="E32" s="20" t="s">
        <v>1072</v>
      </c>
      <c r="F32" s="20" t="s">
        <v>1072</v>
      </c>
      <c r="G32" s="20" t="s">
        <v>1072</v>
      </c>
      <c r="H32" s="20" t="s">
        <v>1072</v>
      </c>
      <c r="I32" s="20" t="s">
        <v>951</v>
      </c>
      <c r="J32" s="20"/>
      <c r="K32" s="30" t="s">
        <v>1511</v>
      </c>
      <c r="L32" s="44" t="s">
        <v>1072</v>
      </c>
    </row>
    <row r="33" spans="2:12">
      <c r="B33" s="295">
        <v>28</v>
      </c>
      <c r="C33" s="59" t="s">
        <v>43</v>
      </c>
      <c r="D33" s="20" t="s">
        <v>44</v>
      </c>
      <c r="E33" s="20" t="s">
        <v>1072</v>
      </c>
      <c r="F33" s="20" t="s">
        <v>1072</v>
      </c>
      <c r="G33" s="20" t="s">
        <v>1072</v>
      </c>
      <c r="H33" s="20" t="s">
        <v>1072</v>
      </c>
      <c r="I33" s="20" t="s">
        <v>947</v>
      </c>
      <c r="J33" s="20"/>
      <c r="K33" s="30" t="s">
        <v>1511</v>
      </c>
      <c r="L33" s="44" t="s">
        <v>1072</v>
      </c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F92C8C86-2252-4F87-855C-953EF31682B4}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446B-E9BC-4046-AA55-CBD10A752665}">
  <sheetPr codeName="Sheet51">
    <tabColor theme="7" tint="0.79998168889431442"/>
  </sheetPr>
  <dimension ref="A1:P20"/>
  <sheetViews>
    <sheetView workbookViewId="0">
      <selection activeCell="C26" sqref="C26"/>
    </sheetView>
  </sheetViews>
  <sheetFormatPr defaultRowHeight="16.5"/>
  <cols>
    <col min="2" max="2" width="6.875" bestFit="1" customWidth="1"/>
    <col min="3" max="3" width="16.5" bestFit="1" customWidth="1"/>
    <col min="4" max="4" width="19.8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  <col min="13" max="13" width="36.5" customWidth="1"/>
  </cols>
  <sheetData>
    <row r="1" spans="1:16" ht="20.25">
      <c r="A1" s="4"/>
      <c r="B1" s="258" t="s">
        <v>1492</v>
      </c>
      <c r="D1" s="482" t="s">
        <v>2539</v>
      </c>
      <c r="E1" s="482"/>
      <c r="F1" s="482"/>
      <c r="G1" s="482"/>
      <c r="H1" s="482"/>
      <c r="I1" s="482"/>
      <c r="J1" s="482"/>
      <c r="K1" s="482"/>
      <c r="L1" s="482"/>
    </row>
    <row r="2" spans="1:16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6">
      <c r="A3" s="4"/>
      <c r="B3" s="483" t="s">
        <v>1493</v>
      </c>
      <c r="C3" s="494"/>
      <c r="D3" s="494" t="s">
        <v>2540</v>
      </c>
      <c r="E3" s="495"/>
      <c r="F3" s="495"/>
      <c r="G3" s="496"/>
      <c r="H3" s="495" t="s">
        <v>2541</v>
      </c>
      <c r="I3" s="495"/>
      <c r="J3" s="496"/>
      <c r="K3" s="11"/>
      <c r="L3" s="11"/>
      <c r="M3" s="172" t="s">
        <v>2542</v>
      </c>
      <c r="N3" s="172"/>
      <c r="O3" s="172"/>
      <c r="P3" s="172"/>
    </row>
    <row r="4" spans="1:16">
      <c r="A4" s="4"/>
      <c r="B4" s="483" t="s">
        <v>1231</v>
      </c>
      <c r="C4" s="494"/>
      <c r="D4" s="498" t="s">
        <v>1458</v>
      </c>
      <c r="E4" s="498"/>
      <c r="F4" s="498"/>
      <c r="G4" s="498"/>
      <c r="H4" s="498"/>
      <c r="I4" s="498"/>
      <c r="J4" s="498"/>
      <c r="K4" s="11"/>
      <c r="L4" s="11"/>
    </row>
    <row r="5" spans="1:16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6">
      <c r="A6" s="4"/>
      <c r="B6" s="8">
        <v>1</v>
      </c>
      <c r="C6" s="8" t="s">
        <v>2543</v>
      </c>
      <c r="D6" s="42" t="s">
        <v>2544</v>
      </c>
      <c r="E6" s="25" t="s">
        <v>1065</v>
      </c>
      <c r="F6" s="8"/>
      <c r="G6" s="8"/>
      <c r="H6" s="25" t="s">
        <v>1065</v>
      </c>
      <c r="I6" s="8" t="s">
        <v>947</v>
      </c>
      <c r="J6" s="8">
        <v>10</v>
      </c>
      <c r="K6" s="139"/>
      <c r="L6" s="138" t="s">
        <v>2545</v>
      </c>
    </row>
    <row r="7" spans="1:16">
      <c r="A7" s="4"/>
      <c r="B7" s="8">
        <v>2</v>
      </c>
      <c r="C7" s="8" t="s">
        <v>2546</v>
      </c>
      <c r="D7" s="42" t="s">
        <v>2547</v>
      </c>
      <c r="E7" s="8"/>
      <c r="F7" s="8"/>
      <c r="G7" s="8"/>
      <c r="H7" s="8"/>
      <c r="I7" s="8" t="s">
        <v>947</v>
      </c>
      <c r="J7" s="8">
        <v>40</v>
      </c>
      <c r="K7" s="31"/>
      <c r="L7" s="33"/>
    </row>
    <row r="8" spans="1:16">
      <c r="A8" s="4"/>
      <c r="B8" s="8">
        <v>3</v>
      </c>
      <c r="C8" s="8" t="s">
        <v>2548</v>
      </c>
      <c r="D8" s="42" t="s">
        <v>2549</v>
      </c>
      <c r="E8" s="8"/>
      <c r="F8" s="8"/>
      <c r="G8" s="8"/>
      <c r="H8" s="8"/>
      <c r="I8" s="8" t="s">
        <v>947</v>
      </c>
      <c r="J8" s="8">
        <v>10</v>
      </c>
      <c r="K8" s="33" t="s">
        <v>2550</v>
      </c>
      <c r="L8" s="33" t="s">
        <v>2551</v>
      </c>
    </row>
    <row r="9" spans="1:16">
      <c r="A9" s="4"/>
      <c r="B9" s="8">
        <v>4</v>
      </c>
      <c r="C9" s="8" t="s">
        <v>2552</v>
      </c>
      <c r="D9" s="42" t="s">
        <v>2553</v>
      </c>
      <c r="E9" s="8"/>
      <c r="F9" s="8"/>
      <c r="G9" s="8"/>
      <c r="H9" s="8"/>
      <c r="I9" s="8" t="s">
        <v>947</v>
      </c>
      <c r="J9" s="8">
        <v>1</v>
      </c>
      <c r="K9" s="33" t="s">
        <v>2554</v>
      </c>
      <c r="L9" s="33" t="s">
        <v>2555</v>
      </c>
    </row>
    <row r="10" spans="1:16">
      <c r="A10" s="4"/>
      <c r="B10" s="8">
        <v>5</v>
      </c>
      <c r="C10" s="20" t="s">
        <v>27</v>
      </c>
      <c r="D10" s="20" t="s">
        <v>28</v>
      </c>
      <c r="E10" s="20" t="s">
        <v>1072</v>
      </c>
      <c r="F10" s="20" t="s">
        <v>1072</v>
      </c>
      <c r="G10" s="20" t="s">
        <v>1072</v>
      </c>
      <c r="H10" s="20" t="s">
        <v>1072</v>
      </c>
      <c r="I10" s="20" t="s">
        <v>951</v>
      </c>
      <c r="J10" s="20"/>
      <c r="K10" s="30" t="s">
        <v>1511</v>
      </c>
      <c r="L10" s="134" t="s">
        <v>1072</v>
      </c>
    </row>
    <row r="11" spans="1:16">
      <c r="A11" s="4"/>
      <c r="B11" s="8">
        <v>6</v>
      </c>
      <c r="C11" s="20" t="s">
        <v>33</v>
      </c>
      <c r="D11" s="20" t="s">
        <v>34</v>
      </c>
      <c r="E11" s="20" t="s">
        <v>1072</v>
      </c>
      <c r="F11" s="20" t="s">
        <v>1072</v>
      </c>
      <c r="G11" s="20" t="s">
        <v>1072</v>
      </c>
      <c r="H11" s="20" t="s">
        <v>1072</v>
      </c>
      <c r="I11" s="20" t="s">
        <v>947</v>
      </c>
      <c r="J11" s="20"/>
      <c r="K11" s="30" t="s">
        <v>1511</v>
      </c>
      <c r="L11" s="134" t="s">
        <v>1072</v>
      </c>
    </row>
    <row r="12" spans="1:16">
      <c r="A12" s="4"/>
      <c r="B12" s="8">
        <v>7</v>
      </c>
      <c r="C12" s="20" t="s">
        <v>37</v>
      </c>
      <c r="D12" s="20" t="s">
        <v>38</v>
      </c>
      <c r="E12" s="20" t="s">
        <v>1072</v>
      </c>
      <c r="F12" s="20" t="s">
        <v>1072</v>
      </c>
      <c r="G12" s="20" t="s">
        <v>1072</v>
      </c>
      <c r="H12" s="20" t="s">
        <v>1072</v>
      </c>
      <c r="I12" s="20" t="s">
        <v>951</v>
      </c>
      <c r="J12" s="20"/>
      <c r="K12" s="30" t="s">
        <v>1511</v>
      </c>
      <c r="L12" s="134" t="s">
        <v>1072</v>
      </c>
    </row>
    <row r="13" spans="1:16">
      <c r="A13" s="4"/>
      <c r="B13" s="8">
        <v>8</v>
      </c>
      <c r="C13" s="20" t="s">
        <v>43</v>
      </c>
      <c r="D13" s="20" t="s">
        <v>44</v>
      </c>
      <c r="E13" s="20" t="s">
        <v>1072</v>
      </c>
      <c r="F13" s="20" t="s">
        <v>1072</v>
      </c>
      <c r="G13" s="20" t="s">
        <v>1072</v>
      </c>
      <c r="H13" s="20" t="s">
        <v>1072</v>
      </c>
      <c r="I13" s="20" t="s">
        <v>947</v>
      </c>
      <c r="J13" s="20"/>
      <c r="K13" s="30" t="s">
        <v>1511</v>
      </c>
      <c r="L13" s="134" t="s">
        <v>1072</v>
      </c>
    </row>
    <row r="18" spans="14:14">
      <c r="N18" t="str">
        <f>LOWER(C16)</f>
        <v/>
      </c>
    </row>
    <row r="19" spans="14:14">
      <c r="N19" t="str">
        <f>LOWER(C17)</f>
        <v/>
      </c>
    </row>
    <row r="20" spans="14:14">
      <c r="N20" t="str">
        <f>LOWER(C18)</f>
        <v/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9579DB09-975E-4B6C-BC82-222550F3B8A2}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2A013-F413-4E2C-B7FF-286AA14251E2}">
  <sheetPr codeName="Sheet49">
    <tabColor theme="7" tint="0.79998168889431442"/>
  </sheetPr>
  <dimension ref="A1:M15"/>
  <sheetViews>
    <sheetView workbookViewId="0">
      <selection activeCell="C9" sqref="C9"/>
    </sheetView>
  </sheetViews>
  <sheetFormatPr defaultRowHeight="16.5"/>
  <cols>
    <col min="2" max="2" width="6.875" bestFit="1" customWidth="1"/>
    <col min="3" max="3" width="16" bestFit="1" customWidth="1"/>
    <col min="4" max="4" width="19.8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28.625" bestFit="1" customWidth="1"/>
    <col min="11" max="12" width="34.625" customWidth="1"/>
    <col min="13" max="13" width="22.375" customWidth="1"/>
  </cols>
  <sheetData>
    <row r="1" spans="1:13" ht="20.25">
      <c r="A1" s="4"/>
      <c r="B1" s="258" t="s">
        <v>1492</v>
      </c>
      <c r="D1" s="482" t="s">
        <v>2556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2557</v>
      </c>
      <c r="E3" s="495"/>
      <c r="F3" s="495"/>
      <c r="G3" s="496"/>
      <c r="H3" s="495" t="s">
        <v>2558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1458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3">
      <c r="A6" s="4"/>
      <c r="B6" s="8">
        <v>1</v>
      </c>
      <c r="C6" s="256" t="s">
        <v>1515</v>
      </c>
      <c r="D6" s="257" t="s">
        <v>1546</v>
      </c>
      <c r="E6" s="256" t="s">
        <v>1065</v>
      </c>
      <c r="F6" s="256"/>
      <c r="G6" s="256"/>
      <c r="H6" s="256" t="s">
        <v>1065</v>
      </c>
      <c r="I6" s="256" t="s">
        <v>947</v>
      </c>
      <c r="J6" s="256">
        <v>20</v>
      </c>
      <c r="K6" s="107" t="s">
        <v>978</v>
      </c>
      <c r="L6" s="159" t="s">
        <v>1798</v>
      </c>
      <c r="M6" t="s">
        <v>1640</v>
      </c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159" t="s">
        <v>1798</v>
      </c>
      <c r="M7" t="s">
        <v>1640</v>
      </c>
    </row>
    <row r="8" spans="1:13">
      <c r="A8" s="4"/>
      <c r="B8" s="8">
        <v>3</v>
      </c>
      <c r="C8" s="8" t="s">
        <v>270</v>
      </c>
      <c r="D8" s="42" t="s">
        <v>1123</v>
      </c>
      <c r="E8" s="8"/>
      <c r="F8" s="8"/>
      <c r="G8" s="8"/>
      <c r="H8" s="8" t="s">
        <v>1065</v>
      </c>
      <c r="I8" s="8" t="s">
        <v>947</v>
      </c>
      <c r="J8" s="8">
        <v>4</v>
      </c>
      <c r="K8" s="33"/>
      <c r="L8" s="33">
        <v>2025</v>
      </c>
    </row>
    <row r="9" spans="1:13">
      <c r="A9" s="4"/>
      <c r="B9" s="8">
        <v>4</v>
      </c>
      <c r="C9" s="8" t="s">
        <v>2358</v>
      </c>
      <c r="D9" s="42" t="s">
        <v>2409</v>
      </c>
      <c r="E9" s="8"/>
      <c r="F9" s="8"/>
      <c r="G9" s="8"/>
      <c r="H9" s="8" t="s">
        <v>1065</v>
      </c>
      <c r="I9" s="8" t="s">
        <v>947</v>
      </c>
      <c r="J9" s="8">
        <v>6</v>
      </c>
      <c r="K9" s="135"/>
      <c r="L9" s="169" t="s">
        <v>2559</v>
      </c>
    </row>
    <row r="10" spans="1:13">
      <c r="A10" s="4"/>
      <c r="B10" s="8">
        <v>5</v>
      </c>
      <c r="C10" s="8" t="s">
        <v>274</v>
      </c>
      <c r="D10" s="406" t="s">
        <v>2445</v>
      </c>
      <c r="E10" s="8"/>
      <c r="F10" s="8"/>
      <c r="G10" s="8"/>
      <c r="H10" s="8" t="s">
        <v>1065</v>
      </c>
      <c r="I10" s="8" t="s">
        <v>947</v>
      </c>
      <c r="J10" s="8">
        <v>2</v>
      </c>
      <c r="K10" s="135"/>
      <c r="L10" s="169" t="s">
        <v>2560</v>
      </c>
      <c r="M10" t="s">
        <v>2561</v>
      </c>
    </row>
    <row r="11" spans="1:13">
      <c r="A11" s="4"/>
      <c r="B11" s="8">
        <v>6</v>
      </c>
      <c r="C11" s="8" t="s">
        <v>1914</v>
      </c>
      <c r="D11" s="42" t="s">
        <v>1761</v>
      </c>
      <c r="E11" s="16"/>
      <c r="F11" s="16"/>
      <c r="G11" s="8"/>
      <c r="H11" s="16" t="s">
        <v>1807</v>
      </c>
      <c r="I11" s="16" t="s">
        <v>947</v>
      </c>
      <c r="J11" s="16">
        <v>20</v>
      </c>
      <c r="K11" s="142"/>
      <c r="L11" s="33" t="s">
        <v>2562</v>
      </c>
    </row>
    <row r="12" spans="1:13" ht="33">
      <c r="A12" s="4"/>
      <c r="B12" s="8">
        <v>7</v>
      </c>
      <c r="C12" s="8" t="s">
        <v>2543</v>
      </c>
      <c r="D12" s="8" t="s">
        <v>2563</v>
      </c>
      <c r="E12" s="8"/>
      <c r="F12" s="8"/>
      <c r="G12" s="8"/>
      <c r="H12" s="304" t="s">
        <v>1807</v>
      </c>
      <c r="I12" s="16" t="s">
        <v>947</v>
      </c>
      <c r="J12" s="16">
        <v>10</v>
      </c>
      <c r="K12" s="183" t="s">
        <v>2564</v>
      </c>
      <c r="L12" s="22">
        <v>5388603132</v>
      </c>
      <c r="M12" s="162" t="s">
        <v>2565</v>
      </c>
    </row>
    <row r="13" spans="1:13">
      <c r="A13" s="4"/>
      <c r="B13" s="8">
        <v>8</v>
      </c>
      <c r="C13" s="8" t="s">
        <v>2546</v>
      </c>
      <c r="D13" s="8" t="s">
        <v>2547</v>
      </c>
      <c r="E13" s="8"/>
      <c r="F13" s="8"/>
      <c r="G13" s="8"/>
      <c r="H13" s="8"/>
      <c r="I13" s="16" t="s">
        <v>947</v>
      </c>
      <c r="J13" s="16">
        <v>40</v>
      </c>
      <c r="K13" s="31"/>
      <c r="L13" s="32" t="s">
        <v>2566</v>
      </c>
    </row>
    <row r="14" spans="1:13">
      <c r="A14" s="4"/>
      <c r="B14" s="8">
        <v>9</v>
      </c>
      <c r="C14" s="25" t="s">
        <v>2567</v>
      </c>
      <c r="D14" s="8" t="s">
        <v>1283</v>
      </c>
      <c r="E14" s="8"/>
      <c r="F14" s="8"/>
      <c r="G14" s="8"/>
      <c r="H14" s="21"/>
      <c r="I14" s="21" t="s">
        <v>1053</v>
      </c>
      <c r="J14" s="21" t="s">
        <v>1054</v>
      </c>
      <c r="K14" s="167"/>
      <c r="L14" s="32"/>
    </row>
    <row r="15" spans="1:13">
      <c r="A15" s="4"/>
      <c r="B15" s="8">
        <v>10</v>
      </c>
      <c r="C15" s="8" t="s">
        <v>2568</v>
      </c>
      <c r="D15" s="8" t="s">
        <v>2569</v>
      </c>
      <c r="E15" s="8"/>
      <c r="F15" s="8"/>
      <c r="G15" s="22"/>
      <c r="H15" s="161"/>
      <c r="I15" s="161" t="s">
        <v>1516</v>
      </c>
      <c r="J15" s="161">
        <v>1</v>
      </c>
      <c r="K15" s="170" t="s">
        <v>2570</v>
      </c>
      <c r="L15" s="171" t="s">
        <v>2554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B6DFAEE4-2EAC-4957-89BD-D96105EC51FC}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3188-1EC9-4904-BCB0-FCFE44ED3B23}">
  <sheetPr>
    <tabColor theme="7" tint="0.79998168889431442"/>
  </sheetPr>
  <dimension ref="A1:M27"/>
  <sheetViews>
    <sheetView topLeftCell="A5" workbookViewId="0">
      <selection activeCell="M23" sqref="M23"/>
    </sheetView>
  </sheetViews>
  <sheetFormatPr defaultRowHeight="16.5"/>
  <cols>
    <col min="2" max="2" width="6.625" bestFit="1" customWidth="1"/>
    <col min="3" max="3" width="14.75" bestFit="1" customWidth="1"/>
    <col min="4" max="4" width="15" bestFit="1" customWidth="1"/>
    <col min="5" max="5" width="3.5" bestFit="1" customWidth="1"/>
    <col min="6" max="6" width="3.375" bestFit="1" customWidth="1"/>
    <col min="7" max="7" width="8.75" bestFit="1" customWidth="1"/>
    <col min="8" max="8" width="8.25" bestFit="1" customWidth="1"/>
    <col min="9" max="9" width="10.375" bestFit="1" customWidth="1"/>
    <col min="10" max="10" width="7" bestFit="1" customWidth="1"/>
    <col min="11" max="11" width="31.5" bestFit="1" customWidth="1"/>
    <col min="12" max="12" width="22.25" bestFit="1" customWidth="1"/>
    <col min="13" max="13" width="48.75" bestFit="1" customWidth="1"/>
  </cols>
  <sheetData>
    <row r="1" spans="1:13" ht="20.25">
      <c r="A1" s="4"/>
      <c r="B1" s="258" t="s">
        <v>1492</v>
      </c>
      <c r="D1" s="482" t="s">
        <v>1461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2571</v>
      </c>
      <c r="E3" s="495"/>
      <c r="F3" s="495"/>
      <c r="G3" s="496"/>
      <c r="H3" s="495" t="s">
        <v>2572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1458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3">
      <c r="A6" s="4"/>
      <c r="B6" s="256">
        <v>1</v>
      </c>
      <c r="C6" s="256" t="s">
        <v>1515</v>
      </c>
      <c r="D6" s="257" t="s">
        <v>1546</v>
      </c>
      <c r="E6" s="256" t="s">
        <v>1065</v>
      </c>
      <c r="F6" s="256"/>
      <c r="G6" s="256"/>
      <c r="H6" s="256" t="s">
        <v>1065</v>
      </c>
      <c r="I6" s="256" t="s">
        <v>947</v>
      </c>
      <c r="J6" s="256">
        <v>20</v>
      </c>
      <c r="K6" s="31"/>
      <c r="L6" s="33"/>
    </row>
    <row r="7" spans="1:13">
      <c r="A7" s="4"/>
      <c r="B7" s="8">
        <v>2</v>
      </c>
      <c r="C7" s="8" t="s">
        <v>270</v>
      </c>
      <c r="D7" s="42" t="s">
        <v>1123</v>
      </c>
      <c r="E7" s="8" t="s">
        <v>1262</v>
      </c>
      <c r="F7" s="8"/>
      <c r="G7" s="8"/>
      <c r="H7" s="8" t="s">
        <v>1065</v>
      </c>
      <c r="I7" s="8" t="s">
        <v>967</v>
      </c>
      <c r="J7" s="8"/>
      <c r="K7" s="33"/>
      <c r="L7" s="33"/>
    </row>
    <row r="8" spans="1:13">
      <c r="A8" s="4"/>
      <c r="B8" s="8">
        <v>3</v>
      </c>
      <c r="C8" s="8" t="s">
        <v>274</v>
      </c>
      <c r="D8" s="42" t="s">
        <v>2004</v>
      </c>
      <c r="E8" s="8" t="s">
        <v>1262</v>
      </c>
      <c r="F8" s="8"/>
      <c r="G8" s="8"/>
      <c r="H8" s="8" t="s">
        <v>1065</v>
      </c>
      <c r="I8" s="8" t="s">
        <v>967</v>
      </c>
      <c r="J8" s="8"/>
      <c r="K8" s="135"/>
      <c r="L8" s="33"/>
    </row>
    <row r="9" spans="1:13">
      <c r="A9" s="4"/>
      <c r="B9" s="8">
        <v>4</v>
      </c>
      <c r="C9" s="8" t="s">
        <v>1003</v>
      </c>
      <c r="D9" s="405" t="s">
        <v>1691</v>
      </c>
      <c r="E9" s="16" t="s">
        <v>1807</v>
      </c>
      <c r="F9" s="16"/>
      <c r="G9" s="8"/>
      <c r="H9" s="16" t="s">
        <v>1807</v>
      </c>
      <c r="I9" s="16" t="s">
        <v>947</v>
      </c>
      <c r="J9" s="16">
        <v>20</v>
      </c>
      <c r="K9" s="142"/>
      <c r="L9" s="33"/>
    </row>
    <row r="10" spans="1:13">
      <c r="A10" s="4"/>
      <c r="B10" s="8">
        <v>5</v>
      </c>
      <c r="C10" s="8" t="s">
        <v>2548</v>
      </c>
      <c r="D10" s="42" t="s">
        <v>2549</v>
      </c>
      <c r="E10" s="16" t="s">
        <v>1807</v>
      </c>
      <c r="F10" s="3"/>
      <c r="G10" s="3"/>
      <c r="H10" s="16" t="s">
        <v>1807</v>
      </c>
      <c r="I10" s="16" t="s">
        <v>947</v>
      </c>
      <c r="J10" s="16">
        <v>10</v>
      </c>
      <c r="K10" s="31" t="s">
        <v>2573</v>
      </c>
      <c r="L10" s="238"/>
      <c r="M10" s="334"/>
    </row>
    <row r="11" spans="1:13" ht="67.5">
      <c r="A11" s="4"/>
      <c r="B11" s="8">
        <v>6</v>
      </c>
      <c r="C11" s="8" t="s">
        <v>279</v>
      </c>
      <c r="D11" s="42" t="s">
        <v>280</v>
      </c>
      <c r="E11" s="16" t="s">
        <v>1807</v>
      </c>
      <c r="F11" s="3"/>
      <c r="G11" s="3"/>
      <c r="H11" s="16" t="s">
        <v>1807</v>
      </c>
      <c r="I11" s="16" t="s">
        <v>947</v>
      </c>
      <c r="J11" s="16">
        <v>10</v>
      </c>
      <c r="K11" s="33" t="s">
        <v>2574</v>
      </c>
      <c r="L11" s="117" t="s">
        <v>2575</v>
      </c>
    </row>
    <row r="12" spans="1:13">
      <c r="A12" s="4"/>
      <c r="B12" s="8">
        <v>6</v>
      </c>
      <c r="C12" s="25" t="s">
        <v>2576</v>
      </c>
      <c r="D12" s="8" t="s">
        <v>2577</v>
      </c>
      <c r="E12" s="8"/>
      <c r="F12" s="8"/>
      <c r="G12" s="8"/>
      <c r="H12" s="8"/>
      <c r="I12" s="8" t="s">
        <v>1053</v>
      </c>
      <c r="J12" s="8" t="s">
        <v>1054</v>
      </c>
      <c r="K12" s="31"/>
      <c r="L12" s="32"/>
    </row>
    <row r="13" spans="1:13">
      <c r="A13" s="4"/>
      <c r="B13" s="8">
        <v>7</v>
      </c>
      <c r="C13" s="25" t="s">
        <v>2578</v>
      </c>
      <c r="D13" s="8" t="s">
        <v>576</v>
      </c>
      <c r="E13" s="8"/>
      <c r="F13" s="8"/>
      <c r="G13" s="8"/>
      <c r="H13" s="8"/>
      <c r="I13" s="8" t="s">
        <v>1053</v>
      </c>
      <c r="J13" s="8" t="s">
        <v>1054</v>
      </c>
      <c r="K13" s="31"/>
      <c r="L13" s="32"/>
    </row>
    <row r="14" spans="1:13">
      <c r="B14" s="8">
        <v>8</v>
      </c>
      <c r="C14" s="25" t="s">
        <v>2579</v>
      </c>
      <c r="D14" s="8" t="s">
        <v>578</v>
      </c>
      <c r="E14" s="8"/>
      <c r="F14" s="8"/>
      <c r="G14" s="8"/>
      <c r="H14" s="8"/>
      <c r="I14" s="8" t="s">
        <v>1053</v>
      </c>
      <c r="J14" s="8" t="s">
        <v>1054</v>
      </c>
      <c r="K14" s="33"/>
      <c r="L14" s="32"/>
    </row>
    <row r="15" spans="1:13">
      <c r="B15" s="8">
        <v>9</v>
      </c>
      <c r="C15" s="25" t="s">
        <v>2580</v>
      </c>
      <c r="D15" s="8" t="s">
        <v>580</v>
      </c>
      <c r="E15" s="8"/>
      <c r="F15" s="8"/>
      <c r="G15" s="8"/>
      <c r="H15" s="8"/>
      <c r="I15" s="8" t="s">
        <v>1053</v>
      </c>
      <c r="J15" s="8" t="s">
        <v>1054</v>
      </c>
      <c r="K15" s="33"/>
      <c r="L15" s="32"/>
    </row>
    <row r="16" spans="1:13">
      <c r="B16" s="8">
        <v>10</v>
      </c>
      <c r="C16" s="25" t="s">
        <v>2581</v>
      </c>
      <c r="D16" s="8" t="s">
        <v>582</v>
      </c>
      <c r="E16" s="8"/>
      <c r="F16" s="8"/>
      <c r="G16" s="8"/>
      <c r="H16" s="8"/>
      <c r="I16" s="8" t="s">
        <v>1053</v>
      </c>
      <c r="J16" s="8" t="s">
        <v>1054</v>
      </c>
      <c r="K16" s="33"/>
      <c r="L16" s="32"/>
    </row>
    <row r="17" spans="2:12">
      <c r="B17" s="8">
        <v>11</v>
      </c>
      <c r="C17" s="25" t="s">
        <v>2582</v>
      </c>
      <c r="D17" s="8" t="s">
        <v>584</v>
      </c>
      <c r="E17" s="8"/>
      <c r="F17" s="8"/>
      <c r="G17" s="8"/>
      <c r="H17" s="8"/>
      <c r="I17" s="8" t="s">
        <v>1053</v>
      </c>
      <c r="J17" s="8" t="s">
        <v>1054</v>
      </c>
      <c r="K17" s="33"/>
      <c r="L17" s="32"/>
    </row>
    <row r="18" spans="2:12">
      <c r="B18" s="8">
        <v>12</v>
      </c>
      <c r="C18" s="25" t="s">
        <v>2583</v>
      </c>
      <c r="D18" s="8" t="s">
        <v>586</v>
      </c>
      <c r="E18" s="8"/>
      <c r="F18" s="8"/>
      <c r="G18" s="8"/>
      <c r="H18" s="8"/>
      <c r="I18" s="8" t="s">
        <v>1053</v>
      </c>
      <c r="J18" s="8" t="s">
        <v>1054</v>
      </c>
      <c r="K18" s="33"/>
      <c r="L18" s="32"/>
    </row>
    <row r="19" spans="2:12">
      <c r="B19" s="8">
        <v>13</v>
      </c>
      <c r="C19" s="25" t="s">
        <v>2584</v>
      </c>
      <c r="D19" s="8" t="s">
        <v>588</v>
      </c>
      <c r="E19" s="8"/>
      <c r="F19" s="8"/>
      <c r="G19" s="8"/>
      <c r="H19" s="8"/>
      <c r="I19" s="8" t="s">
        <v>1053</v>
      </c>
      <c r="J19" s="8" t="s">
        <v>1054</v>
      </c>
      <c r="K19" s="33"/>
      <c r="L19" s="32"/>
    </row>
    <row r="20" spans="2:12">
      <c r="B20" s="8">
        <v>14</v>
      </c>
      <c r="C20" s="25" t="s">
        <v>2585</v>
      </c>
      <c r="D20" s="8" t="s">
        <v>590</v>
      </c>
      <c r="E20" s="16"/>
      <c r="F20" s="16"/>
      <c r="G20" s="16"/>
      <c r="H20" s="16"/>
      <c r="I20" s="8" t="s">
        <v>1053</v>
      </c>
      <c r="J20" s="8" t="s">
        <v>1054</v>
      </c>
      <c r="K20" s="16"/>
      <c r="L20" s="32"/>
    </row>
    <row r="21" spans="2:12">
      <c r="B21" s="8">
        <v>15</v>
      </c>
      <c r="C21" s="25" t="s">
        <v>2586</v>
      </c>
      <c r="D21" s="8" t="s">
        <v>592</v>
      </c>
      <c r="E21" s="16"/>
      <c r="F21" s="16"/>
      <c r="G21" s="16"/>
      <c r="H21" s="16"/>
      <c r="I21" s="8" t="s">
        <v>1053</v>
      </c>
      <c r="J21" s="8" t="s">
        <v>1054</v>
      </c>
      <c r="K21" s="16"/>
      <c r="L21" s="32"/>
    </row>
    <row r="22" spans="2:12">
      <c r="B22" s="8">
        <v>16</v>
      </c>
      <c r="C22" s="25" t="s">
        <v>2587</v>
      </c>
      <c r="D22" s="8" t="s">
        <v>594</v>
      </c>
      <c r="E22" s="16"/>
      <c r="F22" s="16"/>
      <c r="G22" s="16"/>
      <c r="H22" s="16"/>
      <c r="I22" s="8" t="s">
        <v>1053</v>
      </c>
      <c r="J22" s="8" t="s">
        <v>1054</v>
      </c>
      <c r="K22" s="16"/>
      <c r="L22" s="32"/>
    </row>
    <row r="23" spans="2:12">
      <c r="B23" s="8">
        <v>17</v>
      </c>
      <c r="C23" s="25" t="s">
        <v>2588</v>
      </c>
      <c r="D23" s="8" t="s">
        <v>596</v>
      </c>
      <c r="E23" s="16"/>
      <c r="F23" s="16"/>
      <c r="G23" s="16"/>
      <c r="H23" s="16"/>
      <c r="I23" s="8" t="s">
        <v>1053</v>
      </c>
      <c r="J23" s="8" t="s">
        <v>1054</v>
      </c>
      <c r="K23" s="16"/>
      <c r="L23" s="32"/>
    </row>
    <row r="24" spans="2:12">
      <c r="B24" s="8">
        <v>18</v>
      </c>
      <c r="C24" s="20" t="s">
        <v>27</v>
      </c>
      <c r="D24" s="20" t="s">
        <v>28</v>
      </c>
      <c r="E24" s="20" t="s">
        <v>1072</v>
      </c>
      <c r="F24" s="20" t="s">
        <v>1072</v>
      </c>
      <c r="G24" s="20" t="s">
        <v>1072</v>
      </c>
      <c r="H24" s="20" t="s">
        <v>1072</v>
      </c>
      <c r="I24" s="20" t="s">
        <v>951</v>
      </c>
      <c r="J24" s="20"/>
      <c r="K24" s="30" t="s">
        <v>1511</v>
      </c>
      <c r="L24" s="134" t="s">
        <v>1072</v>
      </c>
    </row>
    <row r="25" spans="2:12">
      <c r="B25" s="8">
        <v>19</v>
      </c>
      <c r="C25" s="20" t="s">
        <v>33</v>
      </c>
      <c r="D25" s="20" t="s">
        <v>34</v>
      </c>
      <c r="E25" s="20" t="s">
        <v>1072</v>
      </c>
      <c r="F25" s="20" t="s">
        <v>1072</v>
      </c>
      <c r="G25" s="20" t="s">
        <v>1072</v>
      </c>
      <c r="H25" s="20" t="s">
        <v>1072</v>
      </c>
      <c r="I25" s="20" t="s">
        <v>947</v>
      </c>
      <c r="J25" s="20"/>
      <c r="K25" s="30" t="s">
        <v>1511</v>
      </c>
      <c r="L25" s="134" t="s">
        <v>1072</v>
      </c>
    </row>
    <row r="26" spans="2:12">
      <c r="B26" s="8">
        <v>20</v>
      </c>
      <c r="C26" s="20" t="s">
        <v>37</v>
      </c>
      <c r="D26" s="20" t="s">
        <v>38</v>
      </c>
      <c r="E26" s="20" t="s">
        <v>1072</v>
      </c>
      <c r="F26" s="20" t="s">
        <v>1072</v>
      </c>
      <c r="G26" s="20" t="s">
        <v>1072</v>
      </c>
      <c r="H26" s="20" t="s">
        <v>1072</v>
      </c>
      <c r="I26" s="20" t="s">
        <v>951</v>
      </c>
      <c r="J26" s="20"/>
      <c r="K26" s="30" t="s">
        <v>1511</v>
      </c>
      <c r="L26" s="134" t="s">
        <v>1072</v>
      </c>
    </row>
    <row r="27" spans="2:12">
      <c r="B27" s="43">
        <v>21</v>
      </c>
      <c r="C27" s="335" t="s">
        <v>43</v>
      </c>
      <c r="D27" s="335" t="s">
        <v>44</v>
      </c>
      <c r="E27" s="335" t="s">
        <v>1072</v>
      </c>
      <c r="F27" s="335" t="s">
        <v>1072</v>
      </c>
      <c r="G27" s="335" t="s">
        <v>1072</v>
      </c>
      <c r="H27" s="335" t="s">
        <v>1072</v>
      </c>
      <c r="I27" s="335" t="s">
        <v>947</v>
      </c>
      <c r="J27" s="335"/>
      <c r="K27" s="140" t="s">
        <v>1511</v>
      </c>
      <c r="L27" s="336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43B6A811-6711-4260-9E66-C6DBC326C4B3}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7C9DA-0632-4775-9DC0-4C24CC0E0920}">
  <sheetPr>
    <tabColor theme="7" tint="0.79998168889431442"/>
  </sheetPr>
  <dimension ref="A1:L27"/>
  <sheetViews>
    <sheetView workbookViewId="0">
      <selection activeCell="D8" sqref="D8"/>
    </sheetView>
  </sheetViews>
  <sheetFormatPr defaultRowHeight="16.5"/>
  <cols>
    <col min="2" max="2" width="4.625" bestFit="1" customWidth="1"/>
    <col min="3" max="3" width="12.375" bestFit="1" customWidth="1"/>
    <col min="4" max="4" width="16.125" bestFit="1" customWidth="1"/>
    <col min="5" max="5" width="3.75" bestFit="1" customWidth="1"/>
    <col min="6" max="6" width="3.5" bestFit="1" customWidth="1"/>
    <col min="7" max="7" width="9.25" bestFit="1" customWidth="1"/>
    <col min="8" max="8" width="8.75" bestFit="1" customWidth="1"/>
    <col min="9" max="9" width="9.625" bestFit="1" customWidth="1"/>
    <col min="10" max="10" width="7.375" bestFit="1" customWidth="1"/>
    <col min="11" max="11" width="31.5" bestFit="1" customWidth="1"/>
    <col min="12" max="12" width="22.25" bestFit="1" customWidth="1"/>
    <col min="13" max="13" width="48.75" bestFit="1" customWidth="1"/>
  </cols>
  <sheetData>
    <row r="1" spans="1:12" ht="20.25">
      <c r="A1" s="4"/>
      <c r="B1" s="258" t="s">
        <v>1492</v>
      </c>
      <c r="D1" s="482" t="s">
        <v>1465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2589</v>
      </c>
      <c r="E3" s="495"/>
      <c r="F3" s="495"/>
      <c r="G3" s="496"/>
      <c r="H3" s="495" t="s">
        <v>2590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1458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2">
      <c r="A6" s="4"/>
      <c r="B6" s="256">
        <v>1</v>
      </c>
      <c r="C6" s="256" t="s">
        <v>1515</v>
      </c>
      <c r="D6" s="257" t="s">
        <v>1546</v>
      </c>
      <c r="E6" s="256" t="s">
        <v>1065</v>
      </c>
      <c r="F6" s="256"/>
      <c r="G6" s="256"/>
      <c r="H6" s="256" t="s">
        <v>1065</v>
      </c>
      <c r="I6" s="256" t="s">
        <v>947</v>
      </c>
      <c r="J6" s="256">
        <v>20</v>
      </c>
      <c r="K6" s="31"/>
      <c r="L6" s="33"/>
    </row>
    <row r="7" spans="1:12">
      <c r="A7" s="4"/>
      <c r="B7" s="8">
        <v>2</v>
      </c>
      <c r="C7" s="8" t="s">
        <v>270</v>
      </c>
      <c r="D7" s="42" t="s">
        <v>1123</v>
      </c>
      <c r="E7" s="8" t="s">
        <v>1262</v>
      </c>
      <c r="F7" s="8"/>
      <c r="G7" s="8"/>
      <c r="H7" s="8" t="s">
        <v>1065</v>
      </c>
      <c r="I7" s="8" t="s">
        <v>967</v>
      </c>
      <c r="J7" s="8"/>
      <c r="K7" s="33"/>
      <c r="L7" s="33"/>
    </row>
    <row r="8" spans="1:12">
      <c r="A8" s="4"/>
      <c r="B8" s="8">
        <v>3</v>
      </c>
      <c r="C8" s="8" t="s">
        <v>274</v>
      </c>
      <c r="D8" s="42" t="s">
        <v>2004</v>
      </c>
      <c r="E8" s="8" t="s">
        <v>1262</v>
      </c>
      <c r="F8" s="8"/>
      <c r="G8" s="8"/>
      <c r="H8" s="8" t="s">
        <v>1065</v>
      </c>
      <c r="I8" s="8" t="s">
        <v>967</v>
      </c>
      <c r="J8" s="8"/>
      <c r="K8" s="135"/>
      <c r="L8" s="33"/>
    </row>
    <row r="9" spans="1:12">
      <c r="A9" s="4"/>
      <c r="B9" s="8">
        <v>4</v>
      </c>
      <c r="C9" s="8" t="s">
        <v>1003</v>
      </c>
      <c r="D9" s="405" t="s">
        <v>1691</v>
      </c>
      <c r="E9" s="16" t="s">
        <v>1807</v>
      </c>
      <c r="F9" s="16"/>
      <c r="G9" s="8"/>
      <c r="H9" s="16" t="s">
        <v>1807</v>
      </c>
      <c r="I9" s="16" t="s">
        <v>947</v>
      </c>
      <c r="J9" s="16">
        <v>20</v>
      </c>
      <c r="K9" s="142"/>
      <c r="L9" s="33"/>
    </row>
    <row r="10" spans="1:12">
      <c r="A10" s="4"/>
      <c r="B10" s="8">
        <v>5</v>
      </c>
      <c r="C10" s="8" t="s">
        <v>2548</v>
      </c>
      <c r="D10" s="42" t="s">
        <v>2549</v>
      </c>
      <c r="E10" s="16" t="s">
        <v>1807</v>
      </c>
      <c r="F10" s="3"/>
      <c r="G10" s="3"/>
      <c r="H10" s="16" t="s">
        <v>1807</v>
      </c>
      <c r="I10" s="16" t="s">
        <v>947</v>
      </c>
      <c r="J10" s="16">
        <v>10</v>
      </c>
      <c r="K10" s="31" t="s">
        <v>2573</v>
      </c>
      <c r="L10" s="238"/>
    </row>
    <row r="11" spans="1:12" ht="67.5">
      <c r="A11" s="4"/>
      <c r="B11" s="8">
        <v>6</v>
      </c>
      <c r="C11" s="8" t="s">
        <v>279</v>
      </c>
      <c r="D11" s="42" t="s">
        <v>280</v>
      </c>
      <c r="E11" s="16" t="s">
        <v>1807</v>
      </c>
      <c r="F11" s="3"/>
      <c r="G11" s="3"/>
      <c r="H11" s="16" t="s">
        <v>1807</v>
      </c>
      <c r="I11" s="16" t="s">
        <v>947</v>
      </c>
      <c r="J11" s="16">
        <v>10</v>
      </c>
      <c r="K11" s="33" t="s">
        <v>2574</v>
      </c>
      <c r="L11" s="117" t="s">
        <v>2575</v>
      </c>
    </row>
    <row r="12" spans="1:12">
      <c r="A12" s="4"/>
      <c r="B12" s="8">
        <v>6</v>
      </c>
      <c r="C12" s="25" t="s">
        <v>2576</v>
      </c>
      <c r="D12" s="8" t="s">
        <v>2577</v>
      </c>
      <c r="E12" s="8"/>
      <c r="F12" s="8"/>
      <c r="G12" s="8"/>
      <c r="H12" s="8"/>
      <c r="I12" s="8" t="s">
        <v>1053</v>
      </c>
      <c r="J12" s="8" t="s">
        <v>1054</v>
      </c>
      <c r="K12" s="31"/>
      <c r="L12" s="32"/>
    </row>
    <row r="13" spans="1:12">
      <c r="A13" s="4"/>
      <c r="B13" s="8">
        <v>7</v>
      </c>
      <c r="C13" s="25" t="s">
        <v>2578</v>
      </c>
      <c r="D13" s="8" t="s">
        <v>576</v>
      </c>
      <c r="E13" s="8"/>
      <c r="F13" s="8"/>
      <c r="G13" s="8"/>
      <c r="H13" s="8"/>
      <c r="I13" s="8" t="s">
        <v>1053</v>
      </c>
      <c r="J13" s="8" t="s">
        <v>1054</v>
      </c>
      <c r="K13" s="31"/>
      <c r="L13" s="32"/>
    </row>
    <row r="14" spans="1:12">
      <c r="B14" s="8">
        <v>8</v>
      </c>
      <c r="C14" s="25" t="s">
        <v>2579</v>
      </c>
      <c r="D14" s="8" t="s">
        <v>578</v>
      </c>
      <c r="E14" s="8"/>
      <c r="F14" s="8"/>
      <c r="G14" s="8"/>
      <c r="H14" s="8"/>
      <c r="I14" s="8" t="s">
        <v>1053</v>
      </c>
      <c r="J14" s="8" t="s">
        <v>1054</v>
      </c>
      <c r="K14" s="33"/>
      <c r="L14" s="32"/>
    </row>
    <row r="15" spans="1:12">
      <c r="B15" s="8">
        <v>9</v>
      </c>
      <c r="C15" s="25" t="s">
        <v>2580</v>
      </c>
      <c r="D15" s="8" t="s">
        <v>580</v>
      </c>
      <c r="E15" s="8"/>
      <c r="F15" s="8"/>
      <c r="G15" s="8"/>
      <c r="H15" s="8"/>
      <c r="I15" s="8" t="s">
        <v>1053</v>
      </c>
      <c r="J15" s="8" t="s">
        <v>1054</v>
      </c>
      <c r="K15" s="33"/>
      <c r="L15" s="32"/>
    </row>
    <row r="16" spans="1:12">
      <c r="B16" s="8">
        <v>10</v>
      </c>
      <c r="C16" s="25" t="s">
        <v>2581</v>
      </c>
      <c r="D16" s="8" t="s">
        <v>582</v>
      </c>
      <c r="E16" s="8"/>
      <c r="F16" s="8"/>
      <c r="G16" s="8"/>
      <c r="H16" s="8"/>
      <c r="I16" s="8" t="s">
        <v>1053</v>
      </c>
      <c r="J16" s="8" t="s">
        <v>1054</v>
      </c>
      <c r="K16" s="33"/>
      <c r="L16" s="32"/>
    </row>
    <row r="17" spans="2:12">
      <c r="B17" s="8">
        <v>11</v>
      </c>
      <c r="C17" s="25" t="s">
        <v>2582</v>
      </c>
      <c r="D17" s="8" t="s">
        <v>584</v>
      </c>
      <c r="E17" s="8"/>
      <c r="F17" s="8"/>
      <c r="G17" s="8"/>
      <c r="H17" s="8"/>
      <c r="I17" s="8" t="s">
        <v>1053</v>
      </c>
      <c r="J17" s="8" t="s">
        <v>1054</v>
      </c>
      <c r="K17" s="33"/>
      <c r="L17" s="32"/>
    </row>
    <row r="18" spans="2:12">
      <c r="B18" s="8">
        <v>12</v>
      </c>
      <c r="C18" s="25" t="s">
        <v>2583</v>
      </c>
      <c r="D18" s="8" t="s">
        <v>586</v>
      </c>
      <c r="E18" s="8"/>
      <c r="F18" s="8"/>
      <c r="G18" s="8"/>
      <c r="H18" s="8"/>
      <c r="I18" s="8" t="s">
        <v>1053</v>
      </c>
      <c r="J18" s="8" t="s">
        <v>1054</v>
      </c>
      <c r="K18" s="33"/>
      <c r="L18" s="32"/>
    </row>
    <row r="19" spans="2:12">
      <c r="B19" s="8">
        <v>13</v>
      </c>
      <c r="C19" s="25" t="s">
        <v>2584</v>
      </c>
      <c r="D19" s="8" t="s">
        <v>588</v>
      </c>
      <c r="E19" s="8"/>
      <c r="F19" s="8"/>
      <c r="G19" s="8"/>
      <c r="H19" s="8"/>
      <c r="I19" s="8" t="s">
        <v>1053</v>
      </c>
      <c r="J19" s="8" t="s">
        <v>1054</v>
      </c>
      <c r="K19" s="33"/>
      <c r="L19" s="32"/>
    </row>
    <row r="20" spans="2:12">
      <c r="B20" s="8">
        <v>14</v>
      </c>
      <c r="C20" s="25" t="s">
        <v>2585</v>
      </c>
      <c r="D20" s="8" t="s">
        <v>590</v>
      </c>
      <c r="E20" s="16"/>
      <c r="F20" s="16"/>
      <c r="G20" s="16"/>
      <c r="H20" s="16"/>
      <c r="I20" s="8" t="s">
        <v>1053</v>
      </c>
      <c r="J20" s="8" t="s">
        <v>1054</v>
      </c>
      <c r="K20" s="16"/>
      <c r="L20" s="32"/>
    </row>
    <row r="21" spans="2:12">
      <c r="B21" s="8">
        <v>15</v>
      </c>
      <c r="C21" s="25" t="s">
        <v>2586</v>
      </c>
      <c r="D21" s="8" t="s">
        <v>592</v>
      </c>
      <c r="E21" s="16"/>
      <c r="F21" s="16"/>
      <c r="G21" s="16"/>
      <c r="H21" s="16"/>
      <c r="I21" s="8" t="s">
        <v>1053</v>
      </c>
      <c r="J21" s="8" t="s">
        <v>1054</v>
      </c>
      <c r="K21" s="16"/>
      <c r="L21" s="32"/>
    </row>
    <row r="22" spans="2:12">
      <c r="B22" s="8">
        <v>16</v>
      </c>
      <c r="C22" s="25" t="s">
        <v>2587</v>
      </c>
      <c r="D22" s="8" t="s">
        <v>594</v>
      </c>
      <c r="E22" s="16"/>
      <c r="F22" s="16"/>
      <c r="G22" s="16"/>
      <c r="H22" s="16"/>
      <c r="I22" s="8" t="s">
        <v>1053</v>
      </c>
      <c r="J22" s="8" t="s">
        <v>1054</v>
      </c>
      <c r="K22" s="16"/>
      <c r="L22" s="32"/>
    </row>
    <row r="23" spans="2:12">
      <c r="B23" s="8">
        <v>17</v>
      </c>
      <c r="C23" s="25" t="s">
        <v>2588</v>
      </c>
      <c r="D23" s="8" t="s">
        <v>596</v>
      </c>
      <c r="E23" s="16"/>
      <c r="F23" s="16"/>
      <c r="G23" s="16"/>
      <c r="H23" s="16"/>
      <c r="I23" s="8" t="s">
        <v>1053</v>
      </c>
      <c r="J23" s="8" t="s">
        <v>1054</v>
      </c>
      <c r="K23" s="16"/>
      <c r="L23" s="32"/>
    </row>
    <row r="24" spans="2:12">
      <c r="B24" s="8">
        <v>18</v>
      </c>
      <c r="C24" s="20" t="s">
        <v>27</v>
      </c>
      <c r="D24" s="20" t="s">
        <v>28</v>
      </c>
      <c r="E24" s="20" t="s">
        <v>1072</v>
      </c>
      <c r="F24" s="20" t="s">
        <v>1072</v>
      </c>
      <c r="G24" s="20" t="s">
        <v>1072</v>
      </c>
      <c r="H24" s="20" t="s">
        <v>1072</v>
      </c>
      <c r="I24" s="20" t="s">
        <v>951</v>
      </c>
      <c r="J24" s="20"/>
      <c r="K24" s="30" t="s">
        <v>1511</v>
      </c>
      <c r="L24" s="134" t="s">
        <v>1072</v>
      </c>
    </row>
    <row r="25" spans="2:12">
      <c r="B25" s="8">
        <v>19</v>
      </c>
      <c r="C25" s="20" t="s">
        <v>33</v>
      </c>
      <c r="D25" s="20" t="s">
        <v>34</v>
      </c>
      <c r="E25" s="20" t="s">
        <v>1072</v>
      </c>
      <c r="F25" s="20" t="s">
        <v>1072</v>
      </c>
      <c r="G25" s="20" t="s">
        <v>1072</v>
      </c>
      <c r="H25" s="20" t="s">
        <v>1072</v>
      </c>
      <c r="I25" s="20" t="s">
        <v>947</v>
      </c>
      <c r="J25" s="20"/>
      <c r="K25" s="30" t="s">
        <v>1511</v>
      </c>
      <c r="L25" s="134" t="s">
        <v>1072</v>
      </c>
    </row>
    <row r="26" spans="2:12">
      <c r="B26" s="8">
        <v>20</v>
      </c>
      <c r="C26" s="20" t="s">
        <v>37</v>
      </c>
      <c r="D26" s="20" t="s">
        <v>38</v>
      </c>
      <c r="E26" s="20" t="s">
        <v>1072</v>
      </c>
      <c r="F26" s="20" t="s">
        <v>1072</v>
      </c>
      <c r="G26" s="20" t="s">
        <v>1072</v>
      </c>
      <c r="H26" s="20" t="s">
        <v>1072</v>
      </c>
      <c r="I26" s="20" t="s">
        <v>951</v>
      </c>
      <c r="J26" s="20"/>
      <c r="K26" s="30" t="s">
        <v>1511</v>
      </c>
      <c r="L26" s="134" t="s">
        <v>1072</v>
      </c>
    </row>
    <row r="27" spans="2:12">
      <c r="B27" s="43">
        <v>21</v>
      </c>
      <c r="C27" s="335" t="s">
        <v>43</v>
      </c>
      <c r="D27" s="335" t="s">
        <v>44</v>
      </c>
      <c r="E27" s="335" t="s">
        <v>1072</v>
      </c>
      <c r="F27" s="335" t="s">
        <v>1072</v>
      </c>
      <c r="G27" s="335" t="s">
        <v>1072</v>
      </c>
      <c r="H27" s="335" t="s">
        <v>1072</v>
      </c>
      <c r="I27" s="335" t="s">
        <v>947</v>
      </c>
      <c r="J27" s="335"/>
      <c r="K27" s="140" t="s">
        <v>1511</v>
      </c>
      <c r="L27" s="336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9D2D9127-E295-4108-ADD6-6683CDFAE479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04008-DCFF-45B8-8370-0017240E5ABF}">
  <sheetPr codeName="Sheet50">
    <tabColor theme="7" tint="0.79998168889431442"/>
  </sheetPr>
  <dimension ref="A1:L23"/>
  <sheetViews>
    <sheetView topLeftCell="C1" workbookViewId="0">
      <selection activeCell="D17" sqref="D17"/>
    </sheetView>
  </sheetViews>
  <sheetFormatPr defaultRowHeight="16.5"/>
  <cols>
    <col min="2" max="2" width="6.875" bestFit="1" customWidth="1"/>
    <col min="3" max="3" width="16" bestFit="1" customWidth="1"/>
    <col min="4" max="4" width="19.875" bestFit="1" customWidth="1"/>
    <col min="5" max="5" width="3.75" bestFit="1" customWidth="1"/>
    <col min="6" max="6" width="3.75" customWidth="1"/>
    <col min="7" max="7" width="16" bestFit="1" customWidth="1"/>
    <col min="8" max="8" width="10.5" bestFit="1" customWidth="1"/>
    <col min="9" max="9" width="11.625" bestFit="1" customWidth="1"/>
    <col min="10" max="10" width="28.625" bestFit="1" customWidth="1"/>
    <col min="11" max="11" width="34.625" customWidth="1"/>
    <col min="12" max="12" width="50.5" customWidth="1"/>
  </cols>
  <sheetData>
    <row r="1" spans="1:12" ht="20.25">
      <c r="A1" s="4"/>
      <c r="B1" s="258" t="s">
        <v>1492</v>
      </c>
      <c r="D1" s="482" t="s">
        <v>2591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1382</v>
      </c>
      <c r="E3" s="495"/>
      <c r="F3" s="495"/>
      <c r="G3" s="496"/>
      <c r="H3" s="495" t="s">
        <v>2592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1458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2">
      <c r="A6" s="4"/>
      <c r="B6" s="8">
        <v>2</v>
      </c>
      <c r="C6" s="8" t="s">
        <v>270</v>
      </c>
      <c r="D6" s="42" t="s">
        <v>1123</v>
      </c>
      <c r="E6" s="8" t="s">
        <v>1262</v>
      </c>
      <c r="F6" s="8"/>
      <c r="G6" s="8"/>
      <c r="H6" s="8" t="s">
        <v>1065</v>
      </c>
      <c r="I6" s="8" t="s">
        <v>967</v>
      </c>
      <c r="J6" s="8"/>
      <c r="K6" s="33"/>
      <c r="L6" s="138"/>
    </row>
    <row r="7" spans="1:12">
      <c r="A7" s="4"/>
      <c r="B7" s="8">
        <v>3</v>
      </c>
      <c r="C7" s="8" t="s">
        <v>274</v>
      </c>
      <c r="D7" s="42" t="s">
        <v>2004</v>
      </c>
      <c r="E7" s="8" t="s">
        <v>1262</v>
      </c>
      <c r="F7" s="8"/>
      <c r="G7" s="8"/>
      <c r="H7" s="8" t="s">
        <v>1065</v>
      </c>
      <c r="I7" s="8" t="s">
        <v>967</v>
      </c>
      <c r="J7" s="8"/>
      <c r="K7" s="135"/>
      <c r="L7" s="33"/>
    </row>
    <row r="8" spans="1:12">
      <c r="A8" s="4"/>
      <c r="B8" s="8">
        <v>4</v>
      </c>
      <c r="C8" s="21" t="s">
        <v>1003</v>
      </c>
      <c r="D8" s="419" t="s">
        <v>1691</v>
      </c>
      <c r="E8" s="116" t="s">
        <v>1807</v>
      </c>
      <c r="F8" s="116"/>
      <c r="G8" s="21"/>
      <c r="H8" s="116" t="s">
        <v>1807</v>
      </c>
      <c r="I8" s="116" t="s">
        <v>947</v>
      </c>
      <c r="J8" s="116">
        <v>20</v>
      </c>
      <c r="K8" s="164" t="s">
        <v>2593</v>
      </c>
      <c r="L8" s="33"/>
    </row>
    <row r="9" spans="1:12">
      <c r="A9" s="4"/>
      <c r="B9" s="8">
        <v>5</v>
      </c>
      <c r="C9" s="161" t="s">
        <v>2548</v>
      </c>
      <c r="D9" s="166" t="s">
        <v>2549</v>
      </c>
      <c r="E9" s="116" t="s">
        <v>1807</v>
      </c>
      <c r="F9" s="160"/>
      <c r="G9" s="160"/>
      <c r="H9" s="116" t="s">
        <v>1807</v>
      </c>
      <c r="I9" s="26" t="s">
        <v>947</v>
      </c>
      <c r="J9" s="26">
        <v>10</v>
      </c>
      <c r="K9" s="165" t="s">
        <v>2573</v>
      </c>
      <c r="L9" s="163"/>
    </row>
    <row r="10" spans="1:12" ht="27.75">
      <c r="A10" s="4"/>
      <c r="B10" s="8">
        <v>6</v>
      </c>
      <c r="C10" s="161" t="s">
        <v>279</v>
      </c>
      <c r="D10" s="166" t="s">
        <v>280</v>
      </c>
      <c r="E10" s="116" t="s">
        <v>1807</v>
      </c>
      <c r="F10" s="160"/>
      <c r="G10" s="160"/>
      <c r="H10" s="116" t="s">
        <v>1807</v>
      </c>
      <c r="I10" s="26" t="s">
        <v>947</v>
      </c>
      <c r="J10" s="26">
        <v>10</v>
      </c>
      <c r="K10" s="168" t="s">
        <v>2574</v>
      </c>
      <c r="L10" s="217" t="s">
        <v>2594</v>
      </c>
    </row>
    <row r="11" spans="1:12">
      <c r="A11" s="4"/>
      <c r="B11" s="8">
        <v>7</v>
      </c>
      <c r="C11" s="8" t="s">
        <v>2595</v>
      </c>
      <c r="D11" s="8" t="s">
        <v>2596</v>
      </c>
      <c r="E11" s="8"/>
      <c r="F11" s="8"/>
      <c r="G11" s="8"/>
      <c r="H11" s="8"/>
      <c r="I11" s="8" t="s">
        <v>1053</v>
      </c>
      <c r="J11" s="8" t="s">
        <v>1054</v>
      </c>
      <c r="K11" s="31"/>
      <c r="L11" s="32"/>
    </row>
    <row r="12" spans="1:12">
      <c r="A12" s="4"/>
      <c r="B12" s="8">
        <v>8</v>
      </c>
      <c r="C12" s="25" t="s">
        <v>2576</v>
      </c>
      <c r="D12" s="8" t="s">
        <v>2577</v>
      </c>
      <c r="E12" s="8"/>
      <c r="F12" s="8"/>
      <c r="G12" s="8"/>
      <c r="H12" s="8"/>
      <c r="I12" s="8" t="s">
        <v>1053</v>
      </c>
      <c r="J12" s="8" t="s">
        <v>1054</v>
      </c>
      <c r="K12" s="31"/>
      <c r="L12" s="32"/>
    </row>
    <row r="13" spans="1:12">
      <c r="A13" s="4"/>
      <c r="B13" s="8">
        <v>9</v>
      </c>
      <c r="C13" s="25" t="s">
        <v>2578</v>
      </c>
      <c r="D13" s="8" t="s">
        <v>576</v>
      </c>
      <c r="E13" s="8"/>
      <c r="F13" s="8"/>
      <c r="G13" s="8"/>
      <c r="H13" s="8"/>
      <c r="I13" s="8" t="s">
        <v>1053</v>
      </c>
      <c r="J13" s="8" t="s">
        <v>1054</v>
      </c>
      <c r="K13" s="31"/>
      <c r="L13" s="32"/>
    </row>
    <row r="14" spans="1:12">
      <c r="A14" s="4"/>
      <c r="B14" s="8">
        <v>10</v>
      </c>
      <c r="C14" s="25" t="s">
        <v>2579</v>
      </c>
      <c r="D14" s="8" t="s">
        <v>578</v>
      </c>
      <c r="E14" s="8"/>
      <c r="F14" s="8"/>
      <c r="G14" s="8"/>
      <c r="H14" s="8"/>
      <c r="I14" s="8" t="s">
        <v>1053</v>
      </c>
      <c r="J14" s="8" t="s">
        <v>1054</v>
      </c>
      <c r="K14" s="33"/>
      <c r="L14" s="32"/>
    </row>
    <row r="15" spans="1:12">
      <c r="A15" s="4"/>
      <c r="B15" s="8">
        <v>11</v>
      </c>
      <c r="C15" s="25" t="s">
        <v>2580</v>
      </c>
      <c r="D15" s="8" t="s">
        <v>580</v>
      </c>
      <c r="E15" s="8"/>
      <c r="F15" s="8"/>
      <c r="G15" s="8"/>
      <c r="H15" s="8"/>
      <c r="I15" s="8" t="s">
        <v>1053</v>
      </c>
      <c r="J15" s="8" t="s">
        <v>1054</v>
      </c>
      <c r="K15" s="33"/>
      <c r="L15" s="32"/>
    </row>
    <row r="16" spans="1:12">
      <c r="A16" s="4"/>
      <c r="B16" s="8">
        <v>12</v>
      </c>
      <c r="C16" s="25" t="s">
        <v>2581</v>
      </c>
      <c r="D16" s="8" t="s">
        <v>582</v>
      </c>
      <c r="E16" s="8"/>
      <c r="F16" s="8"/>
      <c r="G16" s="8"/>
      <c r="H16" s="8"/>
      <c r="I16" s="8" t="s">
        <v>1053</v>
      </c>
      <c r="J16" s="8" t="s">
        <v>1054</v>
      </c>
      <c r="K16" s="33"/>
      <c r="L16" s="32"/>
    </row>
    <row r="17" spans="1:12">
      <c r="A17" s="4"/>
      <c r="B17" s="8">
        <v>13</v>
      </c>
      <c r="C17" s="25" t="s">
        <v>2582</v>
      </c>
      <c r="D17" s="8" t="s">
        <v>584</v>
      </c>
      <c r="E17" s="8"/>
      <c r="F17" s="8"/>
      <c r="G17" s="8"/>
      <c r="H17" s="8"/>
      <c r="I17" s="8" t="s">
        <v>1053</v>
      </c>
      <c r="J17" s="8" t="s">
        <v>1054</v>
      </c>
      <c r="K17" s="33"/>
      <c r="L17" s="32"/>
    </row>
    <row r="18" spans="1:12">
      <c r="A18" s="4"/>
      <c r="B18" s="8">
        <v>14</v>
      </c>
      <c r="C18" s="25" t="s">
        <v>2583</v>
      </c>
      <c r="D18" s="8" t="s">
        <v>586</v>
      </c>
      <c r="E18" s="8"/>
      <c r="F18" s="8"/>
      <c r="G18" s="8"/>
      <c r="H18" s="8"/>
      <c r="I18" s="8" t="s">
        <v>1053</v>
      </c>
      <c r="J18" s="8" t="s">
        <v>1054</v>
      </c>
      <c r="K18" s="33"/>
      <c r="L18" s="32"/>
    </row>
    <row r="19" spans="1:12">
      <c r="A19" s="4"/>
      <c r="B19" s="8">
        <v>15</v>
      </c>
      <c r="C19" s="25" t="s">
        <v>2584</v>
      </c>
      <c r="D19" s="8" t="s">
        <v>588</v>
      </c>
      <c r="E19" s="8"/>
      <c r="F19" s="8"/>
      <c r="G19" s="8"/>
      <c r="H19" s="8"/>
      <c r="I19" s="8" t="s">
        <v>1053</v>
      </c>
      <c r="J19" s="8" t="s">
        <v>1054</v>
      </c>
      <c r="K19" s="33"/>
      <c r="L19" s="32"/>
    </row>
    <row r="20" spans="1:12">
      <c r="A20" s="4"/>
      <c r="B20" s="8">
        <v>16</v>
      </c>
      <c r="C20" s="25" t="s">
        <v>2585</v>
      </c>
      <c r="D20" s="8" t="s">
        <v>590</v>
      </c>
      <c r="E20" s="16"/>
      <c r="F20" s="16"/>
      <c r="G20" s="16"/>
      <c r="H20" s="16"/>
      <c r="I20" s="8" t="s">
        <v>1053</v>
      </c>
      <c r="J20" s="8" t="s">
        <v>1054</v>
      </c>
      <c r="K20" s="16"/>
      <c r="L20" s="32"/>
    </row>
    <row r="21" spans="1:12">
      <c r="A21" s="4"/>
      <c r="B21" s="8">
        <v>17</v>
      </c>
      <c r="C21" s="25" t="s">
        <v>2586</v>
      </c>
      <c r="D21" s="8" t="s">
        <v>592</v>
      </c>
      <c r="E21" s="16"/>
      <c r="F21" s="16"/>
      <c r="G21" s="16"/>
      <c r="H21" s="16"/>
      <c r="I21" s="8" t="s">
        <v>1053</v>
      </c>
      <c r="J21" s="8" t="s">
        <v>1054</v>
      </c>
      <c r="K21" s="16"/>
      <c r="L21" s="32"/>
    </row>
    <row r="22" spans="1:12">
      <c r="A22" s="4"/>
      <c r="B22" s="8">
        <v>18</v>
      </c>
      <c r="C22" s="25" t="s">
        <v>2587</v>
      </c>
      <c r="D22" s="8" t="s">
        <v>594</v>
      </c>
      <c r="E22" s="16"/>
      <c r="F22" s="16"/>
      <c r="G22" s="16"/>
      <c r="H22" s="16"/>
      <c r="I22" s="8" t="s">
        <v>1053</v>
      </c>
      <c r="J22" s="8" t="s">
        <v>1054</v>
      </c>
      <c r="K22" s="16"/>
      <c r="L22" s="32"/>
    </row>
    <row r="23" spans="1:12">
      <c r="A23" s="4"/>
      <c r="B23" s="8">
        <v>19</v>
      </c>
      <c r="C23" s="25" t="s">
        <v>2588</v>
      </c>
      <c r="D23" s="8" t="s">
        <v>596</v>
      </c>
      <c r="E23" s="16"/>
      <c r="F23" s="16"/>
      <c r="G23" s="16"/>
      <c r="H23" s="16"/>
      <c r="I23" s="8" t="s">
        <v>1053</v>
      </c>
      <c r="J23" s="8" t="s">
        <v>1054</v>
      </c>
      <c r="K23" s="16"/>
      <c r="L23" s="32"/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D55184E4-6263-4E8A-8335-8EB1F8E84F76}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E236-B073-486A-A574-FAB8EE6FCFA9}">
  <sheetPr codeName="Sheet33">
    <tabColor rgb="FF92D050"/>
  </sheetPr>
  <dimension ref="A1:M39"/>
  <sheetViews>
    <sheetView zoomScale="85" zoomScaleNormal="85" workbookViewId="0">
      <selection activeCell="D13" sqref="D13"/>
    </sheetView>
  </sheetViews>
  <sheetFormatPr defaultRowHeight="16.5"/>
  <cols>
    <col min="2" max="2" width="6.875" bestFit="1" customWidth="1"/>
    <col min="3" max="3" width="16.5" bestFit="1" customWidth="1"/>
    <col min="4" max="4" width="23.75" bestFit="1" customWidth="1"/>
    <col min="5" max="5" width="3.12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42.75" customWidth="1"/>
    <col min="12" max="12" width="34.625" customWidth="1"/>
  </cols>
  <sheetData>
    <row r="1" spans="1:13" ht="20.25">
      <c r="A1" s="4"/>
      <c r="B1" s="5" t="s">
        <v>1492</v>
      </c>
      <c r="D1" s="482" t="s">
        <v>2597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1428</v>
      </c>
      <c r="E3" s="495"/>
      <c r="F3" s="495"/>
      <c r="G3" s="496"/>
      <c r="H3" s="495" t="s">
        <v>1429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1447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12" t="s">
        <v>933</v>
      </c>
      <c r="K5" s="7" t="s">
        <v>934</v>
      </c>
      <c r="L5" s="7" t="s">
        <v>935</v>
      </c>
    </row>
    <row r="6" spans="1:13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s="112" t="s">
        <v>1640</v>
      </c>
    </row>
    <row r="8" spans="1:13">
      <c r="A8" s="4"/>
      <c r="B8" s="8">
        <v>3</v>
      </c>
      <c r="C8" s="47" t="s">
        <v>270</v>
      </c>
      <c r="D8" s="15" t="s">
        <v>292</v>
      </c>
      <c r="E8" s="8"/>
      <c r="F8" s="8"/>
      <c r="G8" s="8"/>
      <c r="H8" s="8" t="s">
        <v>1065</v>
      </c>
      <c r="I8" s="72" t="s">
        <v>947</v>
      </c>
      <c r="J8" s="146">
        <v>4</v>
      </c>
      <c r="K8" s="31"/>
      <c r="L8" s="141"/>
    </row>
    <row r="9" spans="1:13">
      <c r="A9" s="4"/>
      <c r="B9" s="8">
        <v>4</v>
      </c>
      <c r="C9" s="47" t="s">
        <v>274</v>
      </c>
      <c r="D9" s="48" t="s">
        <v>301</v>
      </c>
      <c r="E9" s="8"/>
      <c r="F9" s="8"/>
      <c r="G9" s="8"/>
      <c r="H9" s="8" t="s">
        <v>1065</v>
      </c>
      <c r="I9" s="72" t="s">
        <v>947</v>
      </c>
      <c r="J9" s="147">
        <v>2</v>
      </c>
      <c r="K9" s="31" t="s">
        <v>2004</v>
      </c>
      <c r="L9" s="136"/>
    </row>
    <row r="10" spans="1:13" s="233" customFormat="1">
      <c r="A10" s="231"/>
      <c r="B10" s="8">
        <v>5</v>
      </c>
      <c r="C10" s="221" t="s">
        <v>46</v>
      </c>
      <c r="D10" s="420" t="s">
        <v>310</v>
      </c>
      <c r="E10" s="218"/>
      <c r="F10" s="218"/>
      <c r="G10" s="218"/>
      <c r="H10" s="218" t="s">
        <v>1065</v>
      </c>
      <c r="I10" s="218" t="s">
        <v>947</v>
      </c>
      <c r="J10" s="218">
        <v>13</v>
      </c>
      <c r="K10" s="220" t="s">
        <v>2598</v>
      </c>
      <c r="L10" s="232"/>
    </row>
    <row r="11" spans="1:13">
      <c r="A11" s="4"/>
      <c r="B11" s="8">
        <v>6</v>
      </c>
      <c r="C11" s="8" t="s">
        <v>122</v>
      </c>
      <c r="D11" s="408" t="s">
        <v>123</v>
      </c>
      <c r="E11" s="8"/>
      <c r="F11" s="8"/>
      <c r="G11" s="8"/>
      <c r="H11" s="8" t="s">
        <v>1065</v>
      </c>
      <c r="I11" s="8" t="s">
        <v>947</v>
      </c>
      <c r="J11" s="8">
        <v>10</v>
      </c>
      <c r="K11" s="31"/>
      <c r="L11" s="32"/>
    </row>
    <row r="12" spans="1:13" s="233" customFormat="1">
      <c r="A12" s="231"/>
      <c r="B12" s="8">
        <v>7</v>
      </c>
      <c r="C12" s="221" t="s">
        <v>18</v>
      </c>
      <c r="D12" s="218" t="s">
        <v>19</v>
      </c>
      <c r="E12" s="218"/>
      <c r="F12" s="218"/>
      <c r="G12" s="218"/>
      <c r="H12" s="218" t="s">
        <v>1065</v>
      </c>
      <c r="I12" s="218" t="s">
        <v>947</v>
      </c>
      <c r="J12" s="218">
        <v>10</v>
      </c>
      <c r="K12" s="220" t="s">
        <v>2599</v>
      </c>
      <c r="L12" s="234"/>
    </row>
    <row r="13" spans="1:13" s="233" customFormat="1">
      <c r="A13" s="231"/>
      <c r="B13" s="8">
        <v>8</v>
      </c>
      <c r="C13" s="221" t="s">
        <v>20</v>
      </c>
      <c r="D13" s="331" t="s">
        <v>2600</v>
      </c>
      <c r="E13" s="218"/>
      <c r="F13" s="218"/>
      <c r="G13" s="218"/>
      <c r="H13" s="218" t="s">
        <v>1065</v>
      </c>
      <c r="I13" s="218" t="s">
        <v>947</v>
      </c>
      <c r="J13" s="218">
        <v>24</v>
      </c>
      <c r="K13" s="220" t="s">
        <v>2601</v>
      </c>
      <c r="L13" s="234"/>
    </row>
    <row r="14" spans="1:13" ht="17.25" customHeight="1">
      <c r="A14" s="4"/>
      <c r="B14" s="8">
        <v>9</v>
      </c>
      <c r="C14" s="204" t="s">
        <v>2602</v>
      </c>
      <c r="D14" s="202" t="s">
        <v>335</v>
      </c>
      <c r="E14" s="202"/>
      <c r="F14" s="202"/>
      <c r="G14" s="202"/>
      <c r="H14" s="202" t="s">
        <v>1065</v>
      </c>
      <c r="I14" s="202" t="s">
        <v>947</v>
      </c>
      <c r="J14" s="202">
        <v>1</v>
      </c>
      <c r="K14" s="205" t="s">
        <v>123</v>
      </c>
      <c r="L14" s="206" t="s">
        <v>2603</v>
      </c>
      <c r="M14" s="207" t="s">
        <v>2604</v>
      </c>
    </row>
    <row r="15" spans="1:13" ht="17.25" customHeight="1">
      <c r="A15" s="4"/>
      <c r="B15" s="8">
        <v>10</v>
      </c>
      <c r="C15" s="47" t="s">
        <v>2605</v>
      </c>
      <c r="D15" s="8" t="s">
        <v>2606</v>
      </c>
      <c r="E15" s="8"/>
      <c r="F15" s="8"/>
      <c r="G15" s="8"/>
      <c r="H15" s="8"/>
      <c r="I15" s="8" t="s">
        <v>1053</v>
      </c>
      <c r="J15" s="8" t="s">
        <v>1054</v>
      </c>
      <c r="K15" s="34" t="s">
        <v>2607</v>
      </c>
      <c r="L15" s="32" t="s">
        <v>2608</v>
      </c>
    </row>
    <row r="16" spans="1:13" ht="17.25" customHeight="1">
      <c r="A16" s="4"/>
      <c r="B16" s="8">
        <v>11</v>
      </c>
      <c r="C16" s="47" t="s">
        <v>2609</v>
      </c>
      <c r="D16" s="8" t="s">
        <v>2610</v>
      </c>
      <c r="E16" s="8"/>
      <c r="F16" s="8"/>
      <c r="G16" s="8"/>
      <c r="H16" s="8"/>
      <c r="I16" s="8" t="s">
        <v>1053</v>
      </c>
      <c r="J16" s="8" t="s">
        <v>1054</v>
      </c>
      <c r="K16" s="34"/>
      <c r="L16" s="32"/>
    </row>
    <row r="17" spans="1:12" ht="17.25" customHeight="1">
      <c r="A17" s="4"/>
      <c r="B17" s="8">
        <v>12</v>
      </c>
      <c r="C17" s="47" t="s">
        <v>2611</v>
      </c>
      <c r="D17" s="8" t="s">
        <v>2612</v>
      </c>
      <c r="E17" s="21"/>
      <c r="F17" s="21"/>
      <c r="G17" s="21"/>
      <c r="H17" s="21"/>
      <c r="I17" s="21" t="s">
        <v>1053</v>
      </c>
      <c r="J17" s="8" t="s">
        <v>1054</v>
      </c>
      <c r="K17" s="35"/>
      <c r="L17" s="36"/>
    </row>
    <row r="18" spans="1:12" ht="17.25" customHeight="1">
      <c r="A18" s="4"/>
      <c r="B18" s="8">
        <v>13</v>
      </c>
      <c r="C18" s="47" t="s">
        <v>2613</v>
      </c>
      <c r="D18" s="8" t="s">
        <v>2614</v>
      </c>
      <c r="E18" s="8"/>
      <c r="F18" s="8"/>
      <c r="G18" s="8"/>
      <c r="H18" s="8"/>
      <c r="I18" s="8" t="s">
        <v>1053</v>
      </c>
      <c r="J18" s="8" t="s">
        <v>1054</v>
      </c>
      <c r="K18" s="33"/>
      <c r="L18" s="32"/>
    </row>
    <row r="19" spans="1:12" ht="17.25" customHeight="1">
      <c r="B19" s="8">
        <v>14</v>
      </c>
      <c r="C19" s="47" t="s">
        <v>2615</v>
      </c>
      <c r="D19" s="8" t="s">
        <v>2616</v>
      </c>
      <c r="E19" s="16"/>
      <c r="F19" s="16"/>
      <c r="G19" s="16"/>
      <c r="H19" s="16"/>
      <c r="I19" s="16" t="s">
        <v>1053</v>
      </c>
      <c r="J19" s="8" t="s">
        <v>1054</v>
      </c>
      <c r="K19" s="16"/>
      <c r="L19" s="16"/>
    </row>
    <row r="20" spans="1:12" ht="17.25" customHeight="1">
      <c r="B20" s="8">
        <v>15</v>
      </c>
      <c r="C20" s="47" t="s">
        <v>2617</v>
      </c>
      <c r="D20" s="8" t="s">
        <v>2618</v>
      </c>
      <c r="E20" s="16"/>
      <c r="F20" s="16"/>
      <c r="G20" s="16"/>
      <c r="H20" s="16"/>
      <c r="I20" s="16" t="s">
        <v>1053</v>
      </c>
      <c r="J20" s="8" t="s">
        <v>1054</v>
      </c>
      <c r="K20" s="16"/>
      <c r="L20" s="16"/>
    </row>
    <row r="21" spans="1:12" ht="17.25" customHeight="1">
      <c r="B21" s="8">
        <v>16</v>
      </c>
      <c r="C21" s="47" t="s">
        <v>2619</v>
      </c>
      <c r="D21" s="8" t="s">
        <v>2620</v>
      </c>
      <c r="E21" s="16"/>
      <c r="F21" s="16"/>
      <c r="G21" s="16"/>
      <c r="H21" s="16"/>
      <c r="I21" s="16" t="s">
        <v>1053</v>
      </c>
      <c r="J21" s="8" t="s">
        <v>1054</v>
      </c>
      <c r="K21" s="16"/>
      <c r="L21" s="16"/>
    </row>
    <row r="22" spans="1:12" ht="17.25" customHeight="1">
      <c r="B22" s="8">
        <v>17</v>
      </c>
      <c r="C22" s="47" t="s">
        <v>2621</v>
      </c>
      <c r="D22" s="8" t="s">
        <v>2622</v>
      </c>
      <c r="E22" s="16"/>
      <c r="F22" s="16"/>
      <c r="G22" s="16"/>
      <c r="H22" s="16"/>
      <c r="I22" s="16" t="s">
        <v>1053</v>
      </c>
      <c r="J22" s="8" t="s">
        <v>1054</v>
      </c>
      <c r="K22" s="16"/>
      <c r="L22" s="16"/>
    </row>
    <row r="23" spans="1:12" ht="17.25" customHeight="1">
      <c r="B23" s="8">
        <v>18</v>
      </c>
      <c r="C23" s="47" t="s">
        <v>2623</v>
      </c>
      <c r="D23" s="8" t="s">
        <v>2624</v>
      </c>
      <c r="E23" s="16"/>
      <c r="F23" s="16"/>
      <c r="G23" s="16"/>
      <c r="H23" s="16"/>
      <c r="I23" s="16" t="s">
        <v>1053</v>
      </c>
      <c r="J23" s="8" t="s">
        <v>1054</v>
      </c>
      <c r="K23" s="16"/>
      <c r="L23" s="16"/>
    </row>
    <row r="24" spans="1:12" ht="17.25" customHeight="1">
      <c r="B24" s="8">
        <v>19</v>
      </c>
      <c r="C24" s="47" t="s">
        <v>2625</v>
      </c>
      <c r="D24" s="8" t="s">
        <v>2626</v>
      </c>
      <c r="E24" s="16"/>
      <c r="F24" s="16"/>
      <c r="G24" s="16"/>
      <c r="H24" s="16"/>
      <c r="I24" s="16" t="s">
        <v>1053</v>
      </c>
      <c r="J24" s="8" t="s">
        <v>1054</v>
      </c>
      <c r="K24" s="16"/>
      <c r="L24" s="16"/>
    </row>
    <row r="25" spans="1:12" ht="17.25" customHeight="1">
      <c r="B25" s="8">
        <v>20</v>
      </c>
      <c r="C25" s="47" t="s">
        <v>2627</v>
      </c>
      <c r="D25" s="8" t="s">
        <v>2628</v>
      </c>
      <c r="E25" s="16"/>
      <c r="F25" s="16"/>
      <c r="G25" s="16"/>
      <c r="H25" s="16"/>
      <c r="I25" s="16" t="s">
        <v>1053</v>
      </c>
      <c r="J25" s="8" t="s">
        <v>1054</v>
      </c>
      <c r="K25" s="16"/>
      <c r="L25" s="16"/>
    </row>
    <row r="26" spans="1:12" ht="17.25" customHeight="1">
      <c r="B26" s="8">
        <v>21</v>
      </c>
      <c r="C26" s="47" t="s">
        <v>2629</v>
      </c>
      <c r="D26" s="8" t="s">
        <v>2630</v>
      </c>
      <c r="E26" s="16"/>
      <c r="F26" s="16"/>
      <c r="G26" s="16"/>
      <c r="H26" s="16"/>
      <c r="I26" s="16" t="s">
        <v>1053</v>
      </c>
      <c r="J26" s="8" t="s">
        <v>1054</v>
      </c>
      <c r="K26" s="16"/>
      <c r="L26" s="16"/>
    </row>
    <row r="27" spans="1:12" ht="17.25" customHeight="1">
      <c r="A27" s="4"/>
      <c r="B27" s="8">
        <v>22</v>
      </c>
      <c r="C27" s="47" t="s">
        <v>2631</v>
      </c>
      <c r="D27" s="8" t="s">
        <v>2632</v>
      </c>
      <c r="E27" s="8"/>
      <c r="F27" s="8"/>
      <c r="G27" s="8"/>
      <c r="H27" s="8"/>
      <c r="I27" s="8" t="s">
        <v>1053</v>
      </c>
      <c r="J27" s="8" t="s">
        <v>1054</v>
      </c>
      <c r="K27" s="34" t="s">
        <v>2607</v>
      </c>
      <c r="L27" s="32" t="s">
        <v>2608</v>
      </c>
    </row>
    <row r="28" spans="1:12" ht="17.25" customHeight="1">
      <c r="A28" s="4"/>
      <c r="B28" s="8">
        <v>23</v>
      </c>
      <c r="C28" s="47" t="s">
        <v>2633</v>
      </c>
      <c r="D28" s="8" t="s">
        <v>2634</v>
      </c>
      <c r="E28" s="8"/>
      <c r="F28" s="8"/>
      <c r="G28" s="8"/>
      <c r="H28" s="8"/>
      <c r="I28" s="8" t="s">
        <v>1053</v>
      </c>
      <c r="J28" s="8" t="s">
        <v>1054</v>
      </c>
      <c r="K28" s="34"/>
      <c r="L28" s="32"/>
    </row>
    <row r="29" spans="1:12" ht="17.25" customHeight="1">
      <c r="A29" s="4"/>
      <c r="B29" s="8">
        <v>24</v>
      </c>
      <c r="C29" s="47" t="s">
        <v>2635</v>
      </c>
      <c r="D29" s="8" t="s">
        <v>2636</v>
      </c>
      <c r="E29" s="21"/>
      <c r="F29" s="21"/>
      <c r="G29" s="21"/>
      <c r="H29" s="21"/>
      <c r="I29" s="21" t="s">
        <v>1053</v>
      </c>
      <c r="J29" s="8" t="s">
        <v>1054</v>
      </c>
      <c r="K29" s="35"/>
      <c r="L29" s="36"/>
    </row>
    <row r="30" spans="1:12" ht="17.25" customHeight="1">
      <c r="A30" s="4"/>
      <c r="B30" s="8">
        <v>25</v>
      </c>
      <c r="C30" s="47" t="s">
        <v>2637</v>
      </c>
      <c r="D30" s="8" t="s">
        <v>2638</v>
      </c>
      <c r="E30" s="8"/>
      <c r="F30" s="8"/>
      <c r="G30" s="8"/>
      <c r="H30" s="8"/>
      <c r="I30" s="8" t="s">
        <v>1053</v>
      </c>
      <c r="J30" s="8" t="s">
        <v>1054</v>
      </c>
      <c r="K30" s="33"/>
      <c r="L30" s="32"/>
    </row>
    <row r="31" spans="1:12" ht="17.25" customHeight="1">
      <c r="B31" s="8">
        <v>26</v>
      </c>
      <c r="C31" s="47" t="s">
        <v>2639</v>
      </c>
      <c r="D31" s="8" t="s">
        <v>2640</v>
      </c>
      <c r="E31" s="16"/>
      <c r="F31" s="16"/>
      <c r="G31" s="16"/>
      <c r="H31" s="16"/>
      <c r="I31" s="16" t="s">
        <v>1053</v>
      </c>
      <c r="J31" s="8" t="s">
        <v>1054</v>
      </c>
      <c r="K31" s="16"/>
      <c r="L31" s="16"/>
    </row>
    <row r="32" spans="1:12" ht="17.25" customHeight="1">
      <c r="B32" s="8">
        <v>27</v>
      </c>
      <c r="C32" s="47" t="s">
        <v>2641</v>
      </c>
      <c r="D32" s="8" t="s">
        <v>2642</v>
      </c>
      <c r="E32" s="16"/>
      <c r="F32" s="16"/>
      <c r="G32" s="16"/>
      <c r="H32" s="16"/>
      <c r="I32" s="16" t="s">
        <v>1053</v>
      </c>
      <c r="J32" s="8" t="s">
        <v>1054</v>
      </c>
      <c r="K32" s="16"/>
      <c r="L32" s="16"/>
    </row>
    <row r="33" spans="2:12" ht="17.25" customHeight="1">
      <c r="B33" s="8">
        <v>28</v>
      </c>
      <c r="C33" s="47" t="s">
        <v>2643</v>
      </c>
      <c r="D33" s="8" t="s">
        <v>2644</v>
      </c>
      <c r="E33" s="16"/>
      <c r="F33" s="16"/>
      <c r="G33" s="16"/>
      <c r="H33" s="16"/>
      <c r="I33" s="16" t="s">
        <v>1053</v>
      </c>
      <c r="J33" s="8" t="s">
        <v>1054</v>
      </c>
      <c r="K33" s="16"/>
      <c r="L33" s="16"/>
    </row>
    <row r="34" spans="2:12" ht="17.25" customHeight="1">
      <c r="B34" s="8">
        <v>29</v>
      </c>
      <c r="C34" s="47" t="s">
        <v>2645</v>
      </c>
      <c r="D34" s="8" t="s">
        <v>2646</v>
      </c>
      <c r="E34" s="16"/>
      <c r="F34" s="16"/>
      <c r="G34" s="16"/>
      <c r="H34" s="16"/>
      <c r="I34" s="16" t="s">
        <v>1053</v>
      </c>
      <c r="J34" s="8" t="s">
        <v>1054</v>
      </c>
      <c r="K34" s="16"/>
      <c r="L34" s="16"/>
    </row>
    <row r="35" spans="2:12" ht="17.25" customHeight="1">
      <c r="B35" s="8">
        <v>30</v>
      </c>
      <c r="C35" s="47" t="s">
        <v>2647</v>
      </c>
      <c r="D35" s="8" t="s">
        <v>2648</v>
      </c>
      <c r="E35" s="16"/>
      <c r="F35" s="16"/>
      <c r="G35" s="16"/>
      <c r="H35" s="16"/>
      <c r="I35" s="16" t="s">
        <v>1053</v>
      </c>
      <c r="J35" s="8" t="s">
        <v>1054</v>
      </c>
      <c r="K35" s="16"/>
      <c r="L35" s="16"/>
    </row>
    <row r="36" spans="2:12" ht="17.25" customHeight="1">
      <c r="B36" s="8">
        <v>31</v>
      </c>
      <c r="C36" s="47" t="s">
        <v>2649</v>
      </c>
      <c r="D36" s="8" t="s">
        <v>2650</v>
      </c>
      <c r="E36" s="16"/>
      <c r="F36" s="16"/>
      <c r="G36" s="16"/>
      <c r="H36" s="16"/>
      <c r="I36" s="16" t="s">
        <v>1053</v>
      </c>
      <c r="J36" s="8" t="s">
        <v>1054</v>
      </c>
      <c r="K36" s="16"/>
      <c r="L36" s="16"/>
    </row>
    <row r="37" spans="2:12" ht="17.25" customHeight="1">
      <c r="B37" s="8">
        <v>32</v>
      </c>
      <c r="C37" s="47" t="s">
        <v>2651</v>
      </c>
      <c r="D37" s="8" t="s">
        <v>2652</v>
      </c>
      <c r="E37" s="16"/>
      <c r="F37" s="16"/>
      <c r="G37" s="16"/>
      <c r="H37" s="16"/>
      <c r="I37" s="16" t="s">
        <v>1053</v>
      </c>
      <c r="J37" s="8" t="s">
        <v>1054</v>
      </c>
      <c r="K37" s="16"/>
      <c r="L37" s="16"/>
    </row>
    <row r="38" spans="2:12" ht="17.25" customHeight="1">
      <c r="B38" s="8">
        <v>33</v>
      </c>
      <c r="C38" s="47" t="s">
        <v>2653</v>
      </c>
      <c r="D38" s="8" t="s">
        <v>2654</v>
      </c>
      <c r="E38" s="16"/>
      <c r="F38" s="16"/>
      <c r="G38" s="16"/>
      <c r="H38" s="16"/>
      <c r="I38" s="16" t="s">
        <v>1053</v>
      </c>
      <c r="J38" s="8" t="s">
        <v>1054</v>
      </c>
      <c r="K38" s="16"/>
      <c r="L38" s="16"/>
    </row>
    <row r="39" spans="2:12">
      <c r="B39" s="8">
        <v>34</v>
      </c>
      <c r="C39" s="16" t="s">
        <v>982</v>
      </c>
      <c r="D39" s="16" t="s">
        <v>2655</v>
      </c>
      <c r="E39" s="16"/>
      <c r="F39" s="16"/>
      <c r="G39" s="16"/>
      <c r="H39" s="16"/>
      <c r="I39" s="16" t="s">
        <v>974</v>
      </c>
      <c r="J39" s="16"/>
      <c r="K39" s="37" t="s">
        <v>984</v>
      </c>
      <c r="L39" s="37">
        <v>45737.605555555558</v>
      </c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B2485398-5B8D-4ED2-B90D-3AC4468CF554}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3181B-3825-44C5-ACB1-B185232FF92A}">
  <sheetPr codeName="Sheet2">
    <tabColor rgb="FF92D050"/>
  </sheetPr>
  <dimension ref="A1:M41"/>
  <sheetViews>
    <sheetView topLeftCell="G1" workbookViewId="0">
      <selection activeCell="H9" sqref="H9"/>
    </sheetView>
  </sheetViews>
  <sheetFormatPr defaultRowHeight="16.5"/>
  <cols>
    <col min="2" max="2" width="6.375" bestFit="1" customWidth="1"/>
    <col min="3" max="3" width="16.5" bestFit="1" customWidth="1"/>
    <col min="4" max="4" width="23.75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48.5" customWidth="1"/>
    <col min="12" max="12" width="34.625" customWidth="1"/>
  </cols>
  <sheetData>
    <row r="1" spans="1:13" ht="20.25">
      <c r="A1" s="4"/>
      <c r="B1" s="258" t="s">
        <v>1686</v>
      </c>
      <c r="D1" s="482" t="s">
        <v>2656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1153</v>
      </c>
      <c r="E3" s="495"/>
      <c r="F3" s="495"/>
      <c r="G3" s="496"/>
      <c r="H3" s="495" t="s">
        <v>2657</v>
      </c>
      <c r="I3" s="495"/>
      <c r="J3" s="496"/>
      <c r="K3" s="11"/>
      <c r="L3" s="11"/>
    </row>
    <row r="4" spans="1:13">
      <c r="A4" s="4"/>
      <c r="B4" s="491" t="s">
        <v>1231</v>
      </c>
      <c r="C4" s="492"/>
      <c r="D4" s="493" t="s">
        <v>1447</v>
      </c>
      <c r="E4" s="493"/>
      <c r="F4" s="493"/>
      <c r="G4" s="493"/>
      <c r="H4" s="493"/>
      <c r="I4" s="493"/>
      <c r="J4" s="493"/>
      <c r="K4" s="11"/>
      <c r="L4" s="11"/>
    </row>
    <row r="5" spans="1:13">
      <c r="A5" s="4"/>
      <c r="B5" s="7" t="s">
        <v>1494</v>
      </c>
      <c r="C5" s="7" t="s">
        <v>14</v>
      </c>
      <c r="D5" s="7" t="s">
        <v>15</v>
      </c>
      <c r="E5" s="7" t="s">
        <v>928</v>
      </c>
      <c r="F5" s="7" t="s">
        <v>929</v>
      </c>
      <c r="G5" s="7" t="s">
        <v>930</v>
      </c>
      <c r="H5" s="7" t="s">
        <v>931</v>
      </c>
      <c r="I5" s="7" t="s">
        <v>932</v>
      </c>
      <c r="J5" s="7" t="s">
        <v>933</v>
      </c>
      <c r="K5" s="7" t="s">
        <v>934</v>
      </c>
      <c r="L5" s="7" t="s">
        <v>935</v>
      </c>
    </row>
    <row r="6" spans="1:13">
      <c r="A6" t="s">
        <v>1650</v>
      </c>
      <c r="B6" s="256">
        <v>1</v>
      </c>
      <c r="C6" s="256" t="s">
        <v>1515</v>
      </c>
      <c r="D6" s="257" t="s">
        <v>1546</v>
      </c>
      <c r="E6" s="256" t="s">
        <v>1065</v>
      </c>
      <c r="F6" s="256"/>
      <c r="G6" s="256"/>
      <c r="H6" s="256" t="s">
        <v>1065</v>
      </c>
      <c r="I6" s="256" t="s">
        <v>947</v>
      </c>
      <c r="J6" s="256">
        <v>20</v>
      </c>
      <c r="K6" s="139"/>
      <c r="L6" s="138"/>
    </row>
    <row r="7" spans="1:13" s="236" customFormat="1">
      <c r="A7" s="235"/>
      <c r="B7" s="218">
        <v>2</v>
      </c>
      <c r="C7" s="218" t="s">
        <v>270</v>
      </c>
      <c r="D7" s="264" t="s">
        <v>2003</v>
      </c>
      <c r="E7" s="331" t="s">
        <v>1065</v>
      </c>
      <c r="F7" s="218"/>
      <c r="G7" s="218"/>
      <c r="H7" s="218" t="s">
        <v>1065</v>
      </c>
      <c r="I7" s="315" t="s">
        <v>947</v>
      </c>
      <c r="J7" s="316">
        <v>4</v>
      </c>
      <c r="K7" s="220"/>
      <c r="L7" s="317"/>
    </row>
    <row r="8" spans="1:13" s="236" customFormat="1">
      <c r="A8" s="235"/>
      <c r="B8" s="218">
        <v>3</v>
      </c>
      <c r="C8" s="218" t="s">
        <v>274</v>
      </c>
      <c r="D8" s="264" t="s">
        <v>1913</v>
      </c>
      <c r="E8" s="331" t="s">
        <v>1065</v>
      </c>
      <c r="F8" s="218"/>
      <c r="G8" s="218"/>
      <c r="H8" s="218" t="s">
        <v>1065</v>
      </c>
      <c r="I8" s="315" t="s">
        <v>947</v>
      </c>
      <c r="J8" s="318">
        <v>2</v>
      </c>
      <c r="K8" s="220" t="s">
        <v>2658</v>
      </c>
      <c r="L8" s="317"/>
    </row>
    <row r="9" spans="1:13">
      <c r="A9" s="4"/>
      <c r="B9" s="218">
        <v>4</v>
      </c>
      <c r="C9" s="218" t="s">
        <v>46</v>
      </c>
      <c r="D9" s="422" t="s">
        <v>1761</v>
      </c>
      <c r="E9" s="331" t="s">
        <v>1065</v>
      </c>
      <c r="F9" s="331"/>
      <c r="G9" s="218" t="s">
        <v>1072</v>
      </c>
      <c r="H9" s="218" t="s">
        <v>1065</v>
      </c>
      <c r="I9" s="332" t="s">
        <v>947</v>
      </c>
      <c r="J9" s="218">
        <v>13</v>
      </c>
      <c r="K9" s="317"/>
      <c r="L9" s="317"/>
    </row>
    <row r="10" spans="1:13">
      <c r="A10" s="4"/>
      <c r="B10" s="218">
        <v>5</v>
      </c>
      <c r="C10" s="218" t="s">
        <v>122</v>
      </c>
      <c r="D10" s="423" t="s">
        <v>1691</v>
      </c>
      <c r="E10" s="218"/>
      <c r="F10" s="333" t="s">
        <v>1065</v>
      </c>
      <c r="G10" s="333" t="s">
        <v>1886</v>
      </c>
      <c r="H10" s="218" t="s">
        <v>1065</v>
      </c>
      <c r="I10" s="218" t="s">
        <v>947</v>
      </c>
      <c r="J10" s="218">
        <v>10</v>
      </c>
      <c r="K10" s="220"/>
      <c r="L10" s="317"/>
    </row>
    <row r="11" spans="1:13">
      <c r="A11" s="4"/>
      <c r="B11" s="218">
        <v>6</v>
      </c>
      <c r="C11" s="221" t="s">
        <v>18</v>
      </c>
      <c r="D11" s="218" t="s">
        <v>19</v>
      </c>
      <c r="E11" s="331" t="s">
        <v>1065</v>
      </c>
      <c r="F11" s="333" t="s">
        <v>1065</v>
      </c>
      <c r="G11" s="333" t="s">
        <v>2659</v>
      </c>
      <c r="H11" s="218" t="s">
        <v>1065</v>
      </c>
      <c r="I11" s="218" t="s">
        <v>947</v>
      </c>
      <c r="J11" s="218">
        <v>10</v>
      </c>
      <c r="K11" s="220"/>
      <c r="L11" s="232"/>
    </row>
    <row r="12" spans="1:13">
      <c r="A12" s="4"/>
      <c r="B12" s="218">
        <v>7</v>
      </c>
      <c r="C12" s="221" t="s">
        <v>20</v>
      </c>
      <c r="D12" s="421" t="s">
        <v>21</v>
      </c>
      <c r="E12" s="218"/>
      <c r="F12" s="333" t="s">
        <v>1065</v>
      </c>
      <c r="G12" s="333" t="s">
        <v>2660</v>
      </c>
      <c r="H12" s="218" t="s">
        <v>1065</v>
      </c>
      <c r="I12" s="218" t="s">
        <v>947</v>
      </c>
      <c r="J12" s="218">
        <v>24</v>
      </c>
      <c r="K12" s="220"/>
      <c r="L12" s="232"/>
    </row>
    <row r="13" spans="1:13">
      <c r="A13" s="4"/>
      <c r="B13" s="218">
        <v>8</v>
      </c>
      <c r="C13" s="221" t="s">
        <v>2602</v>
      </c>
      <c r="D13" s="218" t="s">
        <v>335</v>
      </c>
      <c r="E13" s="218"/>
      <c r="F13" s="218"/>
      <c r="G13" s="218"/>
      <c r="H13" s="218" t="s">
        <v>1065</v>
      </c>
      <c r="I13" s="332" t="s">
        <v>1019</v>
      </c>
      <c r="J13" s="218"/>
      <c r="K13" s="220"/>
      <c r="L13" s="232" t="b">
        <v>1</v>
      </c>
      <c r="M13" t="s">
        <v>2661</v>
      </c>
    </row>
    <row r="14" spans="1:13">
      <c r="A14" s="4"/>
      <c r="B14" s="8">
        <v>9</v>
      </c>
      <c r="C14" s="47" t="s">
        <v>2605</v>
      </c>
      <c r="D14" s="8" t="s">
        <v>2606</v>
      </c>
      <c r="E14" s="8"/>
      <c r="F14" s="8"/>
      <c r="G14" s="8"/>
      <c r="H14" s="8"/>
      <c r="I14" s="8" t="s">
        <v>1053</v>
      </c>
      <c r="J14" s="8" t="s">
        <v>1054</v>
      </c>
      <c r="K14" s="34"/>
      <c r="L14" s="32"/>
    </row>
    <row r="15" spans="1:13">
      <c r="A15" s="4"/>
      <c r="B15" s="8">
        <v>10</v>
      </c>
      <c r="C15" s="47" t="s">
        <v>2609</v>
      </c>
      <c r="D15" s="8" t="s">
        <v>2610</v>
      </c>
      <c r="E15" s="8"/>
      <c r="F15" s="8"/>
      <c r="G15" s="8"/>
      <c r="H15" s="8"/>
      <c r="I15" s="8" t="s">
        <v>1053</v>
      </c>
      <c r="J15" s="8" t="s">
        <v>1054</v>
      </c>
      <c r="K15" s="34"/>
      <c r="L15" s="32"/>
    </row>
    <row r="16" spans="1:13">
      <c r="A16" s="4"/>
      <c r="B16" s="8">
        <v>11</v>
      </c>
      <c r="C16" s="47" t="s">
        <v>2611</v>
      </c>
      <c r="D16" s="8" t="s">
        <v>2612</v>
      </c>
      <c r="E16" s="21"/>
      <c r="F16" s="21"/>
      <c r="G16" s="21"/>
      <c r="H16" s="21"/>
      <c r="I16" s="21" t="s">
        <v>1053</v>
      </c>
      <c r="J16" s="8" t="s">
        <v>1054</v>
      </c>
      <c r="K16" s="35"/>
      <c r="L16" s="36"/>
    </row>
    <row r="17" spans="1:12">
      <c r="A17" s="4"/>
      <c r="B17" s="8">
        <v>12</v>
      </c>
      <c r="C17" s="47" t="s">
        <v>2613</v>
      </c>
      <c r="D17" s="8" t="s">
        <v>2614</v>
      </c>
      <c r="E17" s="8"/>
      <c r="F17" s="8"/>
      <c r="G17" s="8"/>
      <c r="H17" s="8"/>
      <c r="I17" s="8" t="s">
        <v>1053</v>
      </c>
      <c r="J17" s="8" t="s">
        <v>1054</v>
      </c>
      <c r="K17" s="33"/>
      <c r="L17" s="32"/>
    </row>
    <row r="18" spans="1:12">
      <c r="B18" s="8">
        <v>13</v>
      </c>
      <c r="C18" s="47" t="s">
        <v>2615</v>
      </c>
      <c r="D18" s="8" t="s">
        <v>2616</v>
      </c>
      <c r="E18" s="16"/>
      <c r="F18" s="16"/>
      <c r="G18" s="16"/>
      <c r="H18" s="16"/>
      <c r="I18" s="16" t="s">
        <v>1053</v>
      </c>
      <c r="J18" s="8" t="s">
        <v>1054</v>
      </c>
      <c r="K18" s="16"/>
      <c r="L18" s="16"/>
    </row>
    <row r="19" spans="1:12">
      <c r="B19" s="8">
        <v>14</v>
      </c>
      <c r="C19" s="47" t="s">
        <v>2617</v>
      </c>
      <c r="D19" s="8" t="s">
        <v>2618</v>
      </c>
      <c r="E19" s="16"/>
      <c r="F19" s="16"/>
      <c r="G19" s="16"/>
      <c r="H19" s="16"/>
      <c r="I19" s="16" t="s">
        <v>1053</v>
      </c>
      <c r="J19" s="8" t="s">
        <v>1054</v>
      </c>
      <c r="K19" s="16"/>
      <c r="L19" s="16"/>
    </row>
    <row r="20" spans="1:12">
      <c r="B20" s="8">
        <v>15</v>
      </c>
      <c r="C20" s="47" t="s">
        <v>2619</v>
      </c>
      <c r="D20" s="8" t="s">
        <v>2620</v>
      </c>
      <c r="E20" s="16"/>
      <c r="F20" s="16"/>
      <c r="G20" s="16"/>
      <c r="H20" s="16"/>
      <c r="I20" s="16" t="s">
        <v>1053</v>
      </c>
      <c r="J20" s="8" t="s">
        <v>1054</v>
      </c>
      <c r="K20" s="16"/>
      <c r="L20" s="16"/>
    </row>
    <row r="21" spans="1:12">
      <c r="B21" s="8">
        <v>16</v>
      </c>
      <c r="C21" s="47" t="s">
        <v>2621</v>
      </c>
      <c r="D21" s="8" t="s">
        <v>2622</v>
      </c>
      <c r="E21" s="16"/>
      <c r="F21" s="16"/>
      <c r="G21" s="16"/>
      <c r="H21" s="16"/>
      <c r="I21" s="16" t="s">
        <v>1053</v>
      </c>
      <c r="J21" s="8" t="s">
        <v>1054</v>
      </c>
      <c r="K21" s="16"/>
      <c r="L21" s="16"/>
    </row>
    <row r="22" spans="1:12">
      <c r="B22" s="8">
        <v>17</v>
      </c>
      <c r="C22" s="47" t="s">
        <v>2623</v>
      </c>
      <c r="D22" s="8" t="s">
        <v>2624</v>
      </c>
      <c r="E22" s="16"/>
      <c r="F22" s="16"/>
      <c r="G22" s="16"/>
      <c r="H22" s="16"/>
      <c r="I22" s="16" t="s">
        <v>1053</v>
      </c>
      <c r="J22" s="8" t="s">
        <v>1054</v>
      </c>
      <c r="K22" s="16"/>
      <c r="L22" s="16"/>
    </row>
    <row r="23" spans="1:12">
      <c r="B23" s="8">
        <v>18</v>
      </c>
      <c r="C23" s="47" t="s">
        <v>2625</v>
      </c>
      <c r="D23" s="8" t="s">
        <v>2626</v>
      </c>
      <c r="E23" s="16"/>
      <c r="F23" s="16"/>
      <c r="G23" s="16"/>
      <c r="H23" s="16"/>
      <c r="I23" s="16" t="s">
        <v>1053</v>
      </c>
      <c r="J23" s="8" t="s">
        <v>1054</v>
      </c>
      <c r="K23" s="16"/>
      <c r="L23" s="16"/>
    </row>
    <row r="24" spans="1:12">
      <c r="B24" s="8">
        <v>19</v>
      </c>
      <c r="C24" s="47" t="s">
        <v>2627</v>
      </c>
      <c r="D24" s="8" t="s">
        <v>2628</v>
      </c>
      <c r="E24" s="16"/>
      <c r="F24" s="16"/>
      <c r="G24" s="16"/>
      <c r="H24" s="16"/>
      <c r="I24" s="16" t="s">
        <v>1053</v>
      </c>
      <c r="J24" s="8" t="s">
        <v>1054</v>
      </c>
      <c r="K24" s="16"/>
      <c r="L24" s="16"/>
    </row>
    <row r="25" spans="1:12">
      <c r="B25" s="8">
        <v>20</v>
      </c>
      <c r="C25" s="47" t="s">
        <v>2629</v>
      </c>
      <c r="D25" s="8" t="s">
        <v>2630</v>
      </c>
      <c r="E25" s="16"/>
      <c r="F25" s="16"/>
      <c r="G25" s="16"/>
      <c r="H25" s="16"/>
      <c r="I25" s="16" t="s">
        <v>1053</v>
      </c>
      <c r="J25" s="8" t="s">
        <v>1054</v>
      </c>
      <c r="K25" s="16"/>
      <c r="L25" s="16"/>
    </row>
    <row r="26" spans="1:12">
      <c r="A26" s="4"/>
      <c r="B26" s="8">
        <v>21</v>
      </c>
      <c r="C26" s="47" t="s">
        <v>2631</v>
      </c>
      <c r="D26" s="8" t="s">
        <v>2632</v>
      </c>
      <c r="E26" s="8"/>
      <c r="F26" s="8"/>
      <c r="G26" s="8"/>
      <c r="H26" s="8"/>
      <c r="I26" s="8" t="s">
        <v>1053</v>
      </c>
      <c r="J26" s="8" t="s">
        <v>1054</v>
      </c>
      <c r="K26" s="34"/>
      <c r="L26" s="32"/>
    </row>
    <row r="27" spans="1:12">
      <c r="A27" s="4"/>
      <c r="B27" s="8">
        <v>22</v>
      </c>
      <c r="C27" s="47" t="s">
        <v>2633</v>
      </c>
      <c r="D27" s="8" t="s">
        <v>2634</v>
      </c>
      <c r="E27" s="8"/>
      <c r="F27" s="8"/>
      <c r="G27" s="8"/>
      <c r="H27" s="8"/>
      <c r="I27" s="8" t="s">
        <v>1053</v>
      </c>
      <c r="J27" s="8" t="s">
        <v>1054</v>
      </c>
      <c r="K27" s="34"/>
      <c r="L27" s="32"/>
    </row>
    <row r="28" spans="1:12">
      <c r="A28" s="4"/>
      <c r="B28" s="8">
        <v>23</v>
      </c>
      <c r="C28" s="47" t="s">
        <v>2635</v>
      </c>
      <c r="D28" s="8" t="s">
        <v>2636</v>
      </c>
      <c r="E28" s="21"/>
      <c r="F28" s="21"/>
      <c r="G28" s="21"/>
      <c r="H28" s="21"/>
      <c r="I28" s="21" t="s">
        <v>1053</v>
      </c>
      <c r="J28" s="8" t="s">
        <v>1054</v>
      </c>
      <c r="K28" s="35"/>
      <c r="L28" s="36"/>
    </row>
    <row r="29" spans="1:12">
      <c r="A29" s="4"/>
      <c r="B29" s="8">
        <v>24</v>
      </c>
      <c r="C29" s="47" t="s">
        <v>2637</v>
      </c>
      <c r="D29" s="8" t="s">
        <v>2638</v>
      </c>
      <c r="E29" s="8"/>
      <c r="F29" s="8"/>
      <c r="G29" s="8"/>
      <c r="H29" s="8"/>
      <c r="I29" s="8" t="s">
        <v>1053</v>
      </c>
      <c r="J29" s="8" t="s">
        <v>1054</v>
      </c>
      <c r="K29" s="33"/>
      <c r="L29" s="32"/>
    </row>
    <row r="30" spans="1:12">
      <c r="B30" s="8">
        <v>25</v>
      </c>
      <c r="C30" s="47" t="s">
        <v>2639</v>
      </c>
      <c r="D30" s="8" t="s">
        <v>2640</v>
      </c>
      <c r="E30" s="16"/>
      <c r="F30" s="16"/>
      <c r="G30" s="16"/>
      <c r="H30" s="16"/>
      <c r="I30" s="16" t="s">
        <v>1053</v>
      </c>
      <c r="J30" s="8" t="s">
        <v>1054</v>
      </c>
      <c r="K30" s="16"/>
      <c r="L30" s="16"/>
    </row>
    <row r="31" spans="1:12">
      <c r="B31" s="8">
        <v>26</v>
      </c>
      <c r="C31" s="47" t="s">
        <v>2641</v>
      </c>
      <c r="D31" s="8" t="s">
        <v>2642</v>
      </c>
      <c r="E31" s="16"/>
      <c r="F31" s="16"/>
      <c r="G31" s="16"/>
      <c r="H31" s="16"/>
      <c r="I31" s="16" t="s">
        <v>1053</v>
      </c>
      <c r="J31" s="8" t="s">
        <v>1054</v>
      </c>
      <c r="K31" s="16"/>
      <c r="L31" s="16"/>
    </row>
    <row r="32" spans="1:12">
      <c r="B32" s="8">
        <v>27</v>
      </c>
      <c r="C32" s="47" t="s">
        <v>2643</v>
      </c>
      <c r="D32" s="8" t="s">
        <v>2644</v>
      </c>
      <c r="E32" s="16"/>
      <c r="F32" s="16"/>
      <c r="G32" s="16"/>
      <c r="H32" s="16"/>
      <c r="I32" s="16" t="s">
        <v>1053</v>
      </c>
      <c r="J32" s="8" t="s">
        <v>1054</v>
      </c>
      <c r="K32" s="16"/>
      <c r="L32" s="16"/>
    </row>
    <row r="33" spans="2:12">
      <c r="B33" s="8">
        <v>28</v>
      </c>
      <c r="C33" s="47" t="s">
        <v>2645</v>
      </c>
      <c r="D33" s="8" t="s">
        <v>2646</v>
      </c>
      <c r="E33" s="16"/>
      <c r="F33" s="16"/>
      <c r="G33" s="16"/>
      <c r="H33" s="16"/>
      <c r="I33" s="16" t="s">
        <v>1053</v>
      </c>
      <c r="J33" s="8" t="s">
        <v>1054</v>
      </c>
      <c r="K33" s="16"/>
      <c r="L33" s="16"/>
    </row>
    <row r="34" spans="2:12">
      <c r="B34" s="8">
        <v>29</v>
      </c>
      <c r="C34" s="47" t="s">
        <v>2647</v>
      </c>
      <c r="D34" s="8" t="s">
        <v>2648</v>
      </c>
      <c r="E34" s="16"/>
      <c r="F34" s="16"/>
      <c r="G34" s="16"/>
      <c r="H34" s="16"/>
      <c r="I34" s="16" t="s">
        <v>1053</v>
      </c>
      <c r="J34" s="8" t="s">
        <v>1054</v>
      </c>
      <c r="K34" s="16"/>
      <c r="L34" s="16"/>
    </row>
    <row r="35" spans="2:12">
      <c r="B35" s="8">
        <v>30</v>
      </c>
      <c r="C35" s="47" t="s">
        <v>2649</v>
      </c>
      <c r="D35" s="8" t="s">
        <v>2650</v>
      </c>
      <c r="E35" s="16"/>
      <c r="F35" s="16"/>
      <c r="G35" s="16"/>
      <c r="H35" s="16"/>
      <c r="I35" s="16" t="s">
        <v>1053</v>
      </c>
      <c r="J35" s="8" t="s">
        <v>1054</v>
      </c>
      <c r="K35" s="16"/>
      <c r="L35" s="16"/>
    </row>
    <row r="36" spans="2:12">
      <c r="B36" s="8">
        <v>31</v>
      </c>
      <c r="C36" s="47" t="s">
        <v>2651</v>
      </c>
      <c r="D36" s="8" t="s">
        <v>2652</v>
      </c>
      <c r="E36" s="16"/>
      <c r="F36" s="16"/>
      <c r="G36" s="16"/>
      <c r="H36" s="16"/>
      <c r="I36" s="16" t="s">
        <v>1053</v>
      </c>
      <c r="J36" s="8" t="s">
        <v>1054</v>
      </c>
      <c r="K36" s="16"/>
      <c r="L36" s="16"/>
    </row>
    <row r="37" spans="2:12">
      <c r="B37" s="8">
        <v>32</v>
      </c>
      <c r="C37" s="47" t="s">
        <v>2653</v>
      </c>
      <c r="D37" s="8" t="s">
        <v>2654</v>
      </c>
      <c r="E37" s="16"/>
      <c r="F37" s="16"/>
      <c r="G37" s="16"/>
      <c r="H37" s="16"/>
      <c r="I37" s="16" t="s">
        <v>1053</v>
      </c>
      <c r="J37" s="8" t="s">
        <v>1054</v>
      </c>
      <c r="K37" s="16"/>
      <c r="L37" s="16"/>
    </row>
    <row r="38" spans="2:12">
      <c r="B38" s="8">
        <v>33</v>
      </c>
      <c r="C38" s="20" t="s">
        <v>27</v>
      </c>
      <c r="D38" s="20" t="s">
        <v>28</v>
      </c>
      <c r="E38" s="20" t="s">
        <v>1072</v>
      </c>
      <c r="F38" s="20" t="s">
        <v>1072</v>
      </c>
      <c r="G38" s="20" t="s">
        <v>1072</v>
      </c>
      <c r="H38" s="20" t="s">
        <v>1072</v>
      </c>
      <c r="I38" s="20" t="s">
        <v>951</v>
      </c>
      <c r="J38" s="20"/>
      <c r="K38" s="30" t="s">
        <v>1511</v>
      </c>
      <c r="L38" s="44" t="s">
        <v>1072</v>
      </c>
    </row>
    <row r="39" spans="2:12">
      <c r="B39" s="8">
        <v>34</v>
      </c>
      <c r="C39" s="20" t="s">
        <v>33</v>
      </c>
      <c r="D39" s="20" t="s">
        <v>34</v>
      </c>
      <c r="E39" s="20" t="s">
        <v>1072</v>
      </c>
      <c r="F39" s="20" t="s">
        <v>1072</v>
      </c>
      <c r="G39" s="20" t="s">
        <v>1072</v>
      </c>
      <c r="H39" s="20" t="s">
        <v>1072</v>
      </c>
      <c r="I39" s="20" t="s">
        <v>947</v>
      </c>
      <c r="J39" s="20"/>
      <c r="K39" s="30" t="s">
        <v>1511</v>
      </c>
      <c r="L39" s="44" t="s">
        <v>1072</v>
      </c>
    </row>
    <row r="40" spans="2:12">
      <c r="B40" s="8">
        <v>35</v>
      </c>
      <c r="C40" s="20" t="s">
        <v>37</v>
      </c>
      <c r="D40" s="20" t="s">
        <v>38</v>
      </c>
      <c r="E40" s="20" t="s">
        <v>1072</v>
      </c>
      <c r="F40" s="20" t="s">
        <v>1072</v>
      </c>
      <c r="G40" s="20" t="s">
        <v>1072</v>
      </c>
      <c r="H40" s="20" t="s">
        <v>1072</v>
      </c>
      <c r="I40" s="20" t="s">
        <v>951</v>
      </c>
      <c r="J40" s="20"/>
      <c r="K40" s="30" t="s">
        <v>1511</v>
      </c>
      <c r="L40" s="44" t="s">
        <v>1072</v>
      </c>
    </row>
    <row r="41" spans="2:12">
      <c r="B41" s="8">
        <v>36</v>
      </c>
      <c r="C41" s="20" t="s">
        <v>43</v>
      </c>
      <c r="D41" s="20" t="s">
        <v>44</v>
      </c>
      <c r="E41" s="20" t="s">
        <v>1072</v>
      </c>
      <c r="F41" s="20" t="s">
        <v>1072</v>
      </c>
      <c r="G41" s="20" t="s">
        <v>1072</v>
      </c>
      <c r="H41" s="20" t="s">
        <v>1072</v>
      </c>
      <c r="I41" s="20" t="s">
        <v>947</v>
      </c>
      <c r="J41" s="20"/>
      <c r="K41" s="30" t="s">
        <v>1511</v>
      </c>
      <c r="L41" s="44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413F0635-AAE8-45EB-997E-E6CA2D6B2B32}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915A1-4DE3-4B44-9EB3-65EE2170C108}">
  <sheetPr codeName="Sheet71">
    <tabColor rgb="FF92D050"/>
  </sheetPr>
  <dimension ref="A1:L34"/>
  <sheetViews>
    <sheetView workbookViewId="0">
      <selection activeCell="D29" sqref="D29"/>
    </sheetView>
  </sheetViews>
  <sheetFormatPr defaultRowHeight="16.5"/>
  <cols>
    <col min="2" max="2" width="6.875" bestFit="1" customWidth="1"/>
    <col min="3" max="3" width="16.5" bestFit="1" customWidth="1"/>
    <col min="4" max="4" width="33.75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50.125" customWidth="1"/>
    <col min="12" max="12" width="34.625" customWidth="1"/>
  </cols>
  <sheetData>
    <row r="1" spans="1:12" ht="20.25">
      <c r="A1" s="4"/>
      <c r="B1" s="258" t="s">
        <v>1492</v>
      </c>
      <c r="D1" s="482" t="s">
        <v>2662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1434</v>
      </c>
      <c r="E3" s="495"/>
      <c r="F3" s="495"/>
      <c r="G3" s="496"/>
      <c r="H3" s="495" t="s">
        <v>1442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1447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27" t="s">
        <v>934</v>
      </c>
      <c r="L5" s="7" t="s">
        <v>935</v>
      </c>
    </row>
    <row r="6" spans="1:12">
      <c r="A6" s="4"/>
      <c r="B6" s="8">
        <v>1</v>
      </c>
      <c r="C6" s="8" t="s">
        <v>1515</v>
      </c>
      <c r="D6" s="42" t="s">
        <v>2663</v>
      </c>
      <c r="E6" s="8" t="s">
        <v>1262</v>
      </c>
      <c r="F6" s="8"/>
      <c r="G6" s="8"/>
      <c r="H6" s="256" t="s">
        <v>1065</v>
      </c>
      <c r="I6" s="256" t="s">
        <v>947</v>
      </c>
      <c r="J6" s="256">
        <v>20</v>
      </c>
      <c r="K6" s="31"/>
      <c r="L6" s="33"/>
    </row>
    <row r="7" spans="1:12">
      <c r="A7" s="4"/>
      <c r="B7" s="8">
        <v>2</v>
      </c>
      <c r="C7" s="8" t="s">
        <v>270</v>
      </c>
      <c r="D7" s="42" t="s">
        <v>1123</v>
      </c>
      <c r="E7" s="8" t="s">
        <v>1262</v>
      </c>
      <c r="F7" s="8"/>
      <c r="G7" s="8"/>
      <c r="H7" s="8" t="s">
        <v>1065</v>
      </c>
      <c r="I7" s="72" t="s">
        <v>947</v>
      </c>
      <c r="J7" s="146">
        <v>4</v>
      </c>
      <c r="K7" s="31"/>
      <c r="L7" s="33">
        <v>2020</v>
      </c>
    </row>
    <row r="8" spans="1:12">
      <c r="A8" s="4"/>
      <c r="B8" s="8">
        <v>3</v>
      </c>
      <c r="C8" s="8" t="s">
        <v>274</v>
      </c>
      <c r="D8" s="406" t="s">
        <v>1913</v>
      </c>
      <c r="E8" s="8" t="s">
        <v>1262</v>
      </c>
      <c r="F8" s="8"/>
      <c r="G8" s="8"/>
      <c r="H8" s="8" t="s">
        <v>1065</v>
      </c>
      <c r="I8" s="72" t="s">
        <v>947</v>
      </c>
      <c r="J8" s="147">
        <v>2</v>
      </c>
      <c r="K8" s="31"/>
      <c r="L8" s="33">
        <v>10</v>
      </c>
    </row>
    <row r="9" spans="1:12">
      <c r="A9" s="4"/>
      <c r="B9" s="8">
        <v>4</v>
      </c>
      <c r="C9" s="8" t="s">
        <v>122</v>
      </c>
      <c r="D9" s="408" t="s">
        <v>1691</v>
      </c>
      <c r="E9" s="8" t="s">
        <v>1262</v>
      </c>
      <c r="F9" s="8"/>
      <c r="G9" s="8"/>
      <c r="H9" s="8" t="s">
        <v>1065</v>
      </c>
      <c r="I9" s="8" t="s">
        <v>947</v>
      </c>
      <c r="J9" s="8">
        <v>10</v>
      </c>
      <c r="K9" s="33"/>
      <c r="L9" s="33">
        <v>10955</v>
      </c>
    </row>
    <row r="10" spans="1:12">
      <c r="A10" s="4"/>
      <c r="B10" s="8">
        <v>5</v>
      </c>
      <c r="C10" s="47" t="s">
        <v>4</v>
      </c>
      <c r="D10" s="48" t="s">
        <v>19</v>
      </c>
      <c r="E10" s="8" t="s">
        <v>1262</v>
      </c>
      <c r="F10" s="8"/>
      <c r="G10" s="8"/>
      <c r="H10" s="8" t="s">
        <v>1065</v>
      </c>
      <c r="I10" s="8" t="s">
        <v>947</v>
      </c>
      <c r="J10" s="8">
        <v>10</v>
      </c>
      <c r="K10" s="31"/>
      <c r="L10" s="8">
        <v>706101</v>
      </c>
    </row>
    <row r="11" spans="1:12">
      <c r="A11" s="4"/>
      <c r="B11" s="8">
        <v>6</v>
      </c>
      <c r="C11" s="47" t="s">
        <v>20</v>
      </c>
      <c r="D11" s="48" t="s">
        <v>21</v>
      </c>
      <c r="E11" s="8"/>
      <c r="F11" s="8"/>
      <c r="G11" s="8"/>
      <c r="H11" s="8" t="s">
        <v>1065</v>
      </c>
      <c r="I11" s="8" t="s">
        <v>947</v>
      </c>
      <c r="J11" s="8">
        <v>24</v>
      </c>
      <c r="K11" s="31"/>
      <c r="L11" s="36" t="s">
        <v>2664</v>
      </c>
    </row>
    <row r="12" spans="1:12">
      <c r="B12" s="8">
        <v>7</v>
      </c>
      <c r="C12" s="47" t="s">
        <v>2665</v>
      </c>
      <c r="D12" s="8" t="s">
        <v>2666</v>
      </c>
      <c r="E12" s="8"/>
      <c r="F12" s="8"/>
      <c r="G12" s="8"/>
      <c r="H12" s="8"/>
      <c r="I12" s="8" t="s">
        <v>1053</v>
      </c>
      <c r="J12" s="8" t="s">
        <v>1054</v>
      </c>
      <c r="K12" s="362"/>
      <c r="L12" s="160"/>
    </row>
    <row r="13" spans="1:12">
      <c r="B13" s="8">
        <v>8</v>
      </c>
      <c r="C13" s="47" t="s">
        <v>2667</v>
      </c>
      <c r="D13" s="8" t="s">
        <v>2668</v>
      </c>
      <c r="E13" s="8"/>
      <c r="F13" s="8"/>
      <c r="G13" s="8"/>
      <c r="H13" s="8"/>
      <c r="I13" s="8" t="s">
        <v>1053</v>
      </c>
      <c r="J13" s="8" t="s">
        <v>1054</v>
      </c>
      <c r="K13" s="362"/>
      <c r="L13" s="160"/>
    </row>
    <row r="14" spans="1:12">
      <c r="B14" s="8">
        <v>9</v>
      </c>
      <c r="C14" s="47" t="s">
        <v>2669</v>
      </c>
      <c r="D14" s="8" t="s">
        <v>2670</v>
      </c>
      <c r="E14" s="8"/>
      <c r="F14" s="8"/>
      <c r="G14" s="8"/>
      <c r="H14" s="8"/>
      <c r="I14" s="8" t="s">
        <v>1053</v>
      </c>
      <c r="J14" s="8" t="s">
        <v>1054</v>
      </c>
      <c r="K14" s="362"/>
      <c r="L14" s="160"/>
    </row>
    <row r="15" spans="1:12">
      <c r="B15" s="8">
        <v>10</v>
      </c>
      <c r="C15" s="47" t="s">
        <v>2671</v>
      </c>
      <c r="D15" s="8" t="s">
        <v>2672</v>
      </c>
      <c r="E15" s="8"/>
      <c r="F15" s="8"/>
      <c r="G15" s="8"/>
      <c r="H15" s="8"/>
      <c r="I15" s="8" t="s">
        <v>1053</v>
      </c>
      <c r="J15" s="8" t="s">
        <v>1054</v>
      </c>
      <c r="K15" s="362"/>
      <c r="L15" s="160"/>
    </row>
    <row r="16" spans="1:12">
      <c r="B16" s="8">
        <v>11</v>
      </c>
      <c r="C16" s="47" t="s">
        <v>2673</v>
      </c>
      <c r="D16" s="8" t="s">
        <v>2674</v>
      </c>
      <c r="E16" s="8"/>
      <c r="F16" s="8"/>
      <c r="G16" s="8"/>
      <c r="H16" s="8"/>
      <c r="I16" s="8" t="s">
        <v>1053</v>
      </c>
      <c r="J16" s="8" t="s">
        <v>1054</v>
      </c>
      <c r="K16" s="362"/>
      <c r="L16" s="160"/>
    </row>
    <row r="17" spans="1:12">
      <c r="B17" s="8">
        <v>12</v>
      </c>
      <c r="C17" s="47" t="s">
        <v>2675</v>
      </c>
      <c r="D17" s="8" t="s">
        <v>2676</v>
      </c>
      <c r="E17" s="8"/>
      <c r="F17" s="8"/>
      <c r="G17" s="8"/>
      <c r="H17" s="8"/>
      <c r="I17" s="8" t="s">
        <v>1053</v>
      </c>
      <c r="J17" s="8" t="s">
        <v>1054</v>
      </c>
      <c r="K17" s="344"/>
      <c r="L17" s="160"/>
    </row>
    <row r="18" spans="1:12">
      <c r="B18" s="8">
        <v>13</v>
      </c>
      <c r="C18" s="47" t="s">
        <v>2677</v>
      </c>
      <c r="D18" s="8" t="s">
        <v>2678</v>
      </c>
      <c r="E18" s="8"/>
      <c r="F18" s="8"/>
      <c r="G18" s="8"/>
      <c r="H18" s="8"/>
      <c r="I18" s="8" t="s">
        <v>1053</v>
      </c>
      <c r="J18" s="8" t="s">
        <v>1054</v>
      </c>
      <c r="K18" s="344"/>
      <c r="L18" s="160"/>
    </row>
    <row r="19" spans="1:12">
      <c r="B19" s="8">
        <v>14</v>
      </c>
      <c r="C19" s="47" t="s">
        <v>2679</v>
      </c>
      <c r="D19" s="8" t="s">
        <v>2680</v>
      </c>
      <c r="E19" s="8"/>
      <c r="F19" s="8"/>
      <c r="G19" s="8"/>
      <c r="H19" s="8"/>
      <c r="I19" s="8" t="s">
        <v>1053</v>
      </c>
      <c r="J19" s="8" t="s">
        <v>1054</v>
      </c>
      <c r="K19" s="344"/>
      <c r="L19" s="160"/>
    </row>
    <row r="20" spans="1:12">
      <c r="B20" s="8">
        <v>15</v>
      </c>
      <c r="C20" s="47" t="s">
        <v>2681</v>
      </c>
      <c r="D20" s="8" t="s">
        <v>2682</v>
      </c>
      <c r="E20" s="8"/>
      <c r="F20" s="8"/>
      <c r="G20" s="8"/>
      <c r="H20" s="8"/>
      <c r="I20" s="8" t="s">
        <v>1053</v>
      </c>
      <c r="J20" s="8" t="s">
        <v>1054</v>
      </c>
      <c r="K20" s="344"/>
      <c r="L20" s="160"/>
    </row>
    <row r="21" spans="1:12">
      <c r="B21" s="8">
        <v>16</v>
      </c>
      <c r="C21" s="47" t="s">
        <v>2683</v>
      </c>
      <c r="D21" s="8" t="s">
        <v>2684</v>
      </c>
      <c r="E21" s="8"/>
      <c r="F21" s="8"/>
      <c r="G21" s="8"/>
      <c r="H21" s="8"/>
      <c r="I21" s="8" t="s">
        <v>1053</v>
      </c>
      <c r="J21" s="8" t="s">
        <v>1054</v>
      </c>
      <c r="K21" s="344"/>
      <c r="L21" s="160"/>
    </row>
    <row r="22" spans="1:12">
      <c r="B22" s="8">
        <v>17</v>
      </c>
      <c r="C22" s="47" t="s">
        <v>2685</v>
      </c>
      <c r="D22" s="8" t="s">
        <v>2686</v>
      </c>
      <c r="E22" s="8"/>
      <c r="F22" s="8"/>
      <c r="G22" s="8"/>
      <c r="H22" s="8"/>
      <c r="I22" s="8" t="s">
        <v>1053</v>
      </c>
      <c r="J22" s="8" t="s">
        <v>1054</v>
      </c>
      <c r="K22" s="344"/>
      <c r="L22" s="160"/>
    </row>
    <row r="23" spans="1:12">
      <c r="B23" s="8">
        <v>18</v>
      </c>
      <c r="C23" s="47" t="s">
        <v>2687</v>
      </c>
      <c r="D23" s="8" t="s">
        <v>2688</v>
      </c>
      <c r="E23" s="16"/>
      <c r="F23" s="16"/>
      <c r="G23" s="16"/>
      <c r="H23" s="16"/>
      <c r="I23" s="8" t="s">
        <v>1053</v>
      </c>
      <c r="J23" s="8" t="s">
        <v>1054</v>
      </c>
      <c r="K23" s="56"/>
      <c r="L23" s="160"/>
    </row>
    <row r="24" spans="1:12">
      <c r="A24" s="4"/>
      <c r="B24" s="8">
        <v>19</v>
      </c>
      <c r="C24" s="328" t="s">
        <v>27</v>
      </c>
      <c r="D24" s="328" t="s">
        <v>28</v>
      </c>
      <c r="E24" s="328" t="s">
        <v>1072</v>
      </c>
      <c r="F24" s="328" t="s">
        <v>1072</v>
      </c>
      <c r="G24" s="328" t="s">
        <v>1072</v>
      </c>
      <c r="H24" s="328" t="s">
        <v>1072</v>
      </c>
      <c r="I24" s="328" t="s">
        <v>951</v>
      </c>
      <c r="J24" s="328"/>
      <c r="K24" s="329" t="s">
        <v>1511</v>
      </c>
      <c r="L24" s="330" t="s">
        <v>1072</v>
      </c>
    </row>
    <row r="25" spans="1:12">
      <c r="A25" s="4"/>
      <c r="B25" s="8">
        <v>20</v>
      </c>
      <c r="C25" s="328" t="s">
        <v>33</v>
      </c>
      <c r="D25" s="328" t="s">
        <v>34</v>
      </c>
      <c r="E25" s="328" t="s">
        <v>1072</v>
      </c>
      <c r="F25" s="328" t="s">
        <v>1072</v>
      </c>
      <c r="G25" s="328" t="s">
        <v>1072</v>
      </c>
      <c r="H25" s="328" t="s">
        <v>1072</v>
      </c>
      <c r="I25" s="328" t="s">
        <v>947</v>
      </c>
      <c r="J25" s="328"/>
      <c r="K25" s="329" t="s">
        <v>1511</v>
      </c>
      <c r="L25" s="330" t="s">
        <v>1072</v>
      </c>
    </row>
    <row r="26" spans="1:12">
      <c r="A26" s="4"/>
      <c r="B26" s="8">
        <v>21</v>
      </c>
      <c r="C26" s="328" t="s">
        <v>37</v>
      </c>
      <c r="D26" s="328" t="s">
        <v>38</v>
      </c>
      <c r="E26" s="328" t="s">
        <v>1072</v>
      </c>
      <c r="F26" s="328" t="s">
        <v>1072</v>
      </c>
      <c r="G26" s="328" t="s">
        <v>1072</v>
      </c>
      <c r="H26" s="328" t="s">
        <v>1072</v>
      </c>
      <c r="I26" s="328" t="s">
        <v>951</v>
      </c>
      <c r="J26" s="328"/>
      <c r="K26" s="329" t="s">
        <v>1511</v>
      </c>
      <c r="L26" s="330" t="s">
        <v>1072</v>
      </c>
    </row>
    <row r="27" spans="1:12">
      <c r="A27" s="4"/>
      <c r="B27" s="8">
        <v>22</v>
      </c>
      <c r="C27" s="328" t="s">
        <v>43</v>
      </c>
      <c r="D27" s="328" t="s">
        <v>44</v>
      </c>
      <c r="E27" s="328" t="s">
        <v>1072</v>
      </c>
      <c r="F27" s="328" t="s">
        <v>1072</v>
      </c>
      <c r="G27" s="328" t="s">
        <v>1072</v>
      </c>
      <c r="H27" s="328" t="s">
        <v>1072</v>
      </c>
      <c r="I27" s="328" t="s">
        <v>947</v>
      </c>
      <c r="J27" s="328"/>
      <c r="K27" s="329" t="s">
        <v>1511</v>
      </c>
      <c r="L27" s="330" t="s">
        <v>1072</v>
      </c>
    </row>
    <row r="28" spans="1:12">
      <c r="A28" s="4"/>
    </row>
    <row r="29" spans="1:12">
      <c r="A29" s="4"/>
    </row>
    <row r="30" spans="1:12">
      <c r="A30" s="4"/>
    </row>
    <row r="31" spans="1:12">
      <c r="A31" s="4"/>
    </row>
    <row r="32" spans="1:12">
      <c r="A32" s="4"/>
    </row>
    <row r="33" spans="1:1">
      <c r="A33" s="4"/>
    </row>
    <row r="34" spans="1:1">
      <c r="A34" s="4"/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9968B9FD-2A0D-4974-A5CF-28AEDA93E4ED}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2D18B-582B-4581-9978-7A8A49E6CEB9}">
  <sheetPr codeName="Sheet70">
    <tabColor rgb="FF92D050"/>
  </sheetPr>
  <dimension ref="A1:M35"/>
  <sheetViews>
    <sheetView topLeftCell="A4" workbookViewId="0">
      <selection activeCell="D12" sqref="D12:D24"/>
    </sheetView>
  </sheetViews>
  <sheetFormatPr defaultRowHeight="16.5"/>
  <cols>
    <col min="2" max="2" width="6.875" bestFit="1" customWidth="1"/>
    <col min="3" max="3" width="16.5" bestFit="1" customWidth="1"/>
    <col min="4" max="4" width="33.75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50.125" customWidth="1"/>
    <col min="12" max="12" width="34.625" customWidth="1"/>
  </cols>
  <sheetData>
    <row r="1" spans="1:13" ht="20.25">
      <c r="A1" s="4"/>
      <c r="B1" s="258" t="s">
        <v>1492</v>
      </c>
      <c r="D1" s="482" t="s">
        <v>2689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1437</v>
      </c>
      <c r="E3" s="495"/>
      <c r="F3" s="495"/>
      <c r="G3" s="496"/>
      <c r="H3" s="495" t="s">
        <v>1442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1447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27" t="s">
        <v>934</v>
      </c>
      <c r="L5" s="7" t="s">
        <v>935</v>
      </c>
    </row>
    <row r="6" spans="1:13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3">
      <c r="A8" s="4"/>
      <c r="B8" s="8">
        <v>3</v>
      </c>
      <c r="C8" s="8" t="s">
        <v>270</v>
      </c>
      <c r="D8" s="42" t="s">
        <v>1123</v>
      </c>
      <c r="E8" s="8"/>
      <c r="F8" s="8"/>
      <c r="G8" s="8"/>
      <c r="H8" s="8" t="s">
        <v>1065</v>
      </c>
      <c r="I8" s="72" t="s">
        <v>947</v>
      </c>
      <c r="J8" s="146">
        <v>4</v>
      </c>
      <c r="K8" s="31"/>
      <c r="L8" s="33">
        <v>2020</v>
      </c>
    </row>
    <row r="9" spans="1:13">
      <c r="A9" s="4"/>
      <c r="B9" s="8">
        <v>4</v>
      </c>
      <c r="C9" s="8" t="s">
        <v>274</v>
      </c>
      <c r="D9" s="406" t="s">
        <v>2445</v>
      </c>
      <c r="E9" s="8"/>
      <c r="F9" s="8"/>
      <c r="G9" s="8"/>
      <c r="H9" s="8" t="s">
        <v>1065</v>
      </c>
      <c r="I9" s="72" t="s">
        <v>947</v>
      </c>
      <c r="J9" s="147">
        <v>2</v>
      </c>
      <c r="K9" s="31"/>
      <c r="L9" s="33">
        <v>10</v>
      </c>
    </row>
    <row r="10" spans="1:13">
      <c r="A10" s="4"/>
      <c r="B10" s="8">
        <v>5</v>
      </c>
      <c r="C10" s="8" t="s">
        <v>122</v>
      </c>
      <c r="D10" s="408" t="s">
        <v>123</v>
      </c>
      <c r="E10" s="8"/>
      <c r="F10" s="8"/>
      <c r="G10" s="8"/>
      <c r="H10" s="8" t="s">
        <v>1065</v>
      </c>
      <c r="I10" s="8" t="s">
        <v>947</v>
      </c>
      <c r="J10" s="8">
        <v>10</v>
      </c>
      <c r="K10" s="33"/>
      <c r="L10" s="33">
        <v>10955</v>
      </c>
    </row>
    <row r="11" spans="1:13">
      <c r="A11" s="4"/>
      <c r="B11" s="8">
        <v>6</v>
      </c>
      <c r="C11" s="47" t="s">
        <v>4</v>
      </c>
      <c r="D11" s="48" t="s">
        <v>19</v>
      </c>
      <c r="E11" s="8"/>
      <c r="F11" s="8"/>
      <c r="G11" s="8"/>
      <c r="H11" s="8" t="s">
        <v>1065</v>
      </c>
      <c r="I11" s="8" t="s">
        <v>947</v>
      </c>
      <c r="J11" s="8">
        <v>10</v>
      </c>
      <c r="K11" s="31"/>
      <c r="L11" s="8">
        <v>706101</v>
      </c>
    </row>
    <row r="12" spans="1:13">
      <c r="A12" s="4"/>
      <c r="B12" s="8">
        <v>7</v>
      </c>
      <c r="C12" s="47" t="s">
        <v>20</v>
      </c>
      <c r="D12" s="48" t="s">
        <v>2600</v>
      </c>
      <c r="E12" s="8"/>
      <c r="F12" s="8"/>
      <c r="G12" s="8"/>
      <c r="H12" s="8" t="s">
        <v>1065</v>
      </c>
      <c r="I12" s="8" t="s">
        <v>947</v>
      </c>
      <c r="J12" s="8">
        <v>24</v>
      </c>
      <c r="K12" s="31"/>
      <c r="L12" s="36" t="s">
        <v>2664</v>
      </c>
    </row>
    <row r="13" spans="1:13">
      <c r="B13" s="8">
        <v>8</v>
      </c>
      <c r="C13" s="47" t="s">
        <v>2665</v>
      </c>
      <c r="D13" s="8" t="s">
        <v>2666</v>
      </c>
      <c r="E13" s="8"/>
      <c r="F13" s="8"/>
      <c r="G13" s="8"/>
      <c r="H13" s="8"/>
      <c r="I13" s="8" t="s">
        <v>1053</v>
      </c>
      <c r="J13" s="8" t="s">
        <v>1054</v>
      </c>
      <c r="K13" s="362"/>
      <c r="L13" s="160"/>
    </row>
    <row r="14" spans="1:13">
      <c r="B14" s="8">
        <v>9</v>
      </c>
      <c r="C14" s="47" t="s">
        <v>2667</v>
      </c>
      <c r="D14" s="8" t="s">
        <v>2668</v>
      </c>
      <c r="E14" s="8"/>
      <c r="F14" s="8"/>
      <c r="G14" s="8"/>
      <c r="H14" s="8"/>
      <c r="I14" s="8" t="s">
        <v>1053</v>
      </c>
      <c r="J14" s="8" t="s">
        <v>1054</v>
      </c>
      <c r="K14" s="362"/>
      <c r="L14" s="160"/>
    </row>
    <row r="15" spans="1:13">
      <c r="B15" s="8">
        <v>10</v>
      </c>
      <c r="C15" s="47" t="s">
        <v>2669</v>
      </c>
      <c r="D15" s="8" t="s">
        <v>2670</v>
      </c>
      <c r="E15" s="8"/>
      <c r="F15" s="8"/>
      <c r="G15" s="8"/>
      <c r="H15" s="8"/>
      <c r="I15" s="8" t="s">
        <v>1053</v>
      </c>
      <c r="J15" s="8" t="s">
        <v>1054</v>
      </c>
      <c r="K15" s="362"/>
      <c r="L15" s="160"/>
    </row>
    <row r="16" spans="1:13">
      <c r="B16" s="8">
        <v>11</v>
      </c>
      <c r="C16" s="47" t="s">
        <v>2671</v>
      </c>
      <c r="D16" s="8" t="s">
        <v>2672</v>
      </c>
      <c r="E16" s="8"/>
      <c r="F16" s="8"/>
      <c r="G16" s="8"/>
      <c r="H16" s="8"/>
      <c r="I16" s="8" t="s">
        <v>1053</v>
      </c>
      <c r="J16" s="8" t="s">
        <v>1054</v>
      </c>
      <c r="K16" s="362"/>
      <c r="L16" s="160"/>
    </row>
    <row r="17" spans="1:12">
      <c r="B17" s="8">
        <v>12</v>
      </c>
      <c r="C17" s="47" t="s">
        <v>2673</v>
      </c>
      <c r="D17" s="8" t="s">
        <v>2674</v>
      </c>
      <c r="E17" s="8"/>
      <c r="F17" s="8"/>
      <c r="G17" s="8"/>
      <c r="H17" s="8"/>
      <c r="I17" s="8" t="s">
        <v>1053</v>
      </c>
      <c r="J17" s="8" t="s">
        <v>1054</v>
      </c>
      <c r="K17" s="362"/>
      <c r="L17" s="160"/>
    </row>
    <row r="18" spans="1:12">
      <c r="B18" s="8">
        <v>13</v>
      </c>
      <c r="C18" s="47" t="s">
        <v>2675</v>
      </c>
      <c r="D18" s="8" t="s">
        <v>2676</v>
      </c>
      <c r="E18" s="8"/>
      <c r="F18" s="8"/>
      <c r="G18" s="8"/>
      <c r="H18" s="8"/>
      <c r="I18" s="8" t="s">
        <v>1053</v>
      </c>
      <c r="J18" s="8" t="s">
        <v>1054</v>
      </c>
      <c r="K18" s="344"/>
      <c r="L18" s="160"/>
    </row>
    <row r="19" spans="1:12">
      <c r="B19" s="8">
        <v>14</v>
      </c>
      <c r="C19" s="47" t="s">
        <v>2677</v>
      </c>
      <c r="D19" s="8" t="s">
        <v>2678</v>
      </c>
      <c r="E19" s="8"/>
      <c r="F19" s="8"/>
      <c r="G19" s="8"/>
      <c r="H19" s="8"/>
      <c r="I19" s="8" t="s">
        <v>1053</v>
      </c>
      <c r="J19" s="8" t="s">
        <v>1054</v>
      </c>
      <c r="K19" s="344"/>
      <c r="L19" s="160"/>
    </row>
    <row r="20" spans="1:12">
      <c r="B20" s="8">
        <v>15</v>
      </c>
      <c r="C20" s="47" t="s">
        <v>2679</v>
      </c>
      <c r="D20" s="8" t="s">
        <v>2680</v>
      </c>
      <c r="E20" s="8"/>
      <c r="F20" s="8"/>
      <c r="G20" s="8"/>
      <c r="H20" s="8"/>
      <c r="I20" s="8" t="s">
        <v>1053</v>
      </c>
      <c r="J20" s="8" t="s">
        <v>1054</v>
      </c>
      <c r="K20" s="344"/>
      <c r="L20" s="160"/>
    </row>
    <row r="21" spans="1:12">
      <c r="B21" s="8">
        <v>16</v>
      </c>
      <c r="C21" s="47" t="s">
        <v>2681</v>
      </c>
      <c r="D21" s="8" t="s">
        <v>2682</v>
      </c>
      <c r="E21" s="8"/>
      <c r="F21" s="8"/>
      <c r="G21" s="8"/>
      <c r="H21" s="8"/>
      <c r="I21" s="8" t="s">
        <v>1053</v>
      </c>
      <c r="J21" s="8" t="s">
        <v>1054</v>
      </c>
      <c r="K21" s="344"/>
      <c r="L21" s="160"/>
    </row>
    <row r="22" spans="1:12">
      <c r="B22" s="8">
        <v>17</v>
      </c>
      <c r="C22" s="47" t="s">
        <v>2683</v>
      </c>
      <c r="D22" s="8" t="s">
        <v>2684</v>
      </c>
      <c r="E22" s="8"/>
      <c r="F22" s="8"/>
      <c r="G22" s="8"/>
      <c r="H22" s="8"/>
      <c r="I22" s="8" t="s">
        <v>1053</v>
      </c>
      <c r="J22" s="8" t="s">
        <v>1054</v>
      </c>
      <c r="K22" s="344"/>
      <c r="L22" s="160"/>
    </row>
    <row r="23" spans="1:12">
      <c r="B23" s="8">
        <v>18</v>
      </c>
      <c r="C23" s="47" t="s">
        <v>2685</v>
      </c>
      <c r="D23" s="8" t="s">
        <v>2686</v>
      </c>
      <c r="E23" s="8"/>
      <c r="F23" s="8"/>
      <c r="G23" s="8"/>
      <c r="H23" s="8"/>
      <c r="I23" s="8" t="s">
        <v>1053</v>
      </c>
      <c r="J23" s="8" t="s">
        <v>1054</v>
      </c>
      <c r="K23" s="344"/>
      <c r="L23" s="160"/>
    </row>
    <row r="24" spans="1:12">
      <c r="B24" s="8">
        <v>19</v>
      </c>
      <c r="C24" s="47" t="s">
        <v>2687</v>
      </c>
      <c r="D24" s="8" t="s">
        <v>2688</v>
      </c>
      <c r="E24" s="16"/>
      <c r="F24" s="16"/>
      <c r="G24" s="16"/>
      <c r="H24" s="16"/>
      <c r="I24" s="8" t="s">
        <v>1053</v>
      </c>
      <c r="J24" s="8" t="s">
        <v>1054</v>
      </c>
      <c r="K24" s="56"/>
      <c r="L24" s="160"/>
    </row>
    <row r="25" spans="1:12">
      <c r="A25" s="4"/>
    </row>
    <row r="26" spans="1:12">
      <c r="A26" s="4"/>
    </row>
    <row r="27" spans="1:12">
      <c r="A27" s="4"/>
    </row>
    <row r="28" spans="1:12">
      <c r="A28" s="4"/>
    </row>
    <row r="29" spans="1:12">
      <c r="A29" s="4"/>
    </row>
    <row r="30" spans="1:12">
      <c r="A30" s="4"/>
    </row>
    <row r="31" spans="1:12">
      <c r="A31" s="4"/>
    </row>
    <row r="32" spans="1:12">
      <c r="A32" s="4"/>
    </row>
    <row r="33" spans="1:1">
      <c r="A33" s="4"/>
    </row>
    <row r="34" spans="1:1">
      <c r="A34" s="4"/>
    </row>
    <row r="35" spans="1:1">
      <c r="A35" s="4"/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CEB2861F-7807-45BC-9CF1-18061A7166B5}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7A54-BAFF-41CB-8112-45FC0C2BE11D}">
  <sheetPr codeName="Sheet35">
    <tabColor rgb="FF92D050"/>
  </sheetPr>
  <dimension ref="A1:M25"/>
  <sheetViews>
    <sheetView workbookViewId="0">
      <selection activeCell="B6" sqref="B6"/>
    </sheetView>
  </sheetViews>
  <sheetFormatPr defaultRowHeight="16.5"/>
  <cols>
    <col min="2" max="2" width="6.875" bestFit="1" customWidth="1"/>
    <col min="3" max="3" width="16.5" bestFit="1" customWidth="1"/>
    <col min="4" max="4" width="33.75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50.125" customWidth="1"/>
    <col min="12" max="12" width="34.625" customWidth="1"/>
  </cols>
  <sheetData>
    <row r="1" spans="1:13" ht="20.25">
      <c r="A1" s="4"/>
      <c r="B1" s="258" t="s">
        <v>1492</v>
      </c>
      <c r="D1" s="482" t="s">
        <v>2690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1441</v>
      </c>
      <c r="E3" s="495"/>
      <c r="F3" s="495"/>
      <c r="G3" s="496"/>
      <c r="H3" s="495" t="s">
        <v>1442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1447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27" t="s">
        <v>934</v>
      </c>
      <c r="L5" s="7" t="s">
        <v>935</v>
      </c>
    </row>
    <row r="6" spans="1:13">
      <c r="A6" s="4"/>
      <c r="B6" s="8">
        <v>1</v>
      </c>
      <c r="C6" s="20" t="s">
        <v>1515</v>
      </c>
      <c r="D6" s="45" t="s">
        <v>1546</v>
      </c>
      <c r="E6" s="39" t="s">
        <v>1065</v>
      </c>
      <c r="F6" s="20"/>
      <c r="G6" s="20"/>
      <c r="H6" s="20" t="s">
        <v>1065</v>
      </c>
      <c r="I6" s="20" t="s">
        <v>947</v>
      </c>
      <c r="J6" s="20"/>
      <c r="K6" s="28"/>
      <c r="L6" s="140"/>
    </row>
    <row r="7" spans="1:13">
      <c r="A7" s="4"/>
      <c r="B7" s="8">
        <v>2</v>
      </c>
      <c r="C7" s="46" t="s">
        <v>35</v>
      </c>
      <c r="D7" s="20" t="s">
        <v>36</v>
      </c>
      <c r="E7" s="20"/>
      <c r="F7" s="20"/>
      <c r="G7" s="20"/>
      <c r="H7" s="20"/>
      <c r="I7" s="20" t="s">
        <v>947</v>
      </c>
      <c r="J7" s="20">
        <v>10</v>
      </c>
      <c r="K7" s="107" t="s">
        <v>978</v>
      </c>
      <c r="L7" s="61" t="s">
        <v>979</v>
      </c>
      <c r="M7" t="s">
        <v>1640</v>
      </c>
    </row>
    <row r="8" spans="1:13">
      <c r="A8" s="4"/>
      <c r="B8" s="8">
        <v>3</v>
      </c>
      <c r="C8" s="8" t="s">
        <v>270</v>
      </c>
      <c r="D8" s="406" t="s">
        <v>293</v>
      </c>
      <c r="E8" s="8"/>
      <c r="F8" s="8"/>
      <c r="G8" s="8"/>
      <c r="H8" s="8" t="s">
        <v>1065</v>
      </c>
      <c r="I8" s="72" t="s">
        <v>947</v>
      </c>
      <c r="J8" s="146">
        <v>4</v>
      </c>
      <c r="K8" s="31"/>
      <c r="L8" s="33">
        <v>2020</v>
      </c>
    </row>
    <row r="9" spans="1:13">
      <c r="A9" s="4"/>
      <c r="B9" s="8">
        <v>4</v>
      </c>
      <c r="C9" s="8" t="s">
        <v>274</v>
      </c>
      <c r="D9" s="408" t="s">
        <v>301</v>
      </c>
      <c r="E9" s="8"/>
      <c r="F9" s="8"/>
      <c r="G9" s="8"/>
      <c r="H9" s="8" t="s">
        <v>1065</v>
      </c>
      <c r="I9" s="72" t="s">
        <v>947</v>
      </c>
      <c r="J9" s="147">
        <v>2</v>
      </c>
      <c r="K9" s="31"/>
      <c r="L9" s="33">
        <v>10</v>
      </c>
    </row>
    <row r="10" spans="1:13">
      <c r="A10" s="4"/>
      <c r="B10" s="8">
        <v>5</v>
      </c>
      <c r="C10" s="8" t="s">
        <v>122</v>
      </c>
      <c r="D10" s="408" t="s">
        <v>123</v>
      </c>
      <c r="E10" s="8"/>
      <c r="F10" s="8"/>
      <c r="G10" s="8"/>
      <c r="H10" s="8" t="s">
        <v>1065</v>
      </c>
      <c r="I10" s="8" t="s">
        <v>947</v>
      </c>
      <c r="J10" s="8">
        <v>10</v>
      </c>
      <c r="K10" s="33"/>
      <c r="L10" s="33">
        <v>10955</v>
      </c>
    </row>
    <row r="11" spans="1:13">
      <c r="A11" s="4"/>
      <c r="B11" s="8">
        <v>6</v>
      </c>
      <c r="C11" s="47" t="s">
        <v>4</v>
      </c>
      <c r="D11" s="48" t="s">
        <v>19</v>
      </c>
      <c r="E11" s="8"/>
      <c r="F11" s="8"/>
      <c r="G11" s="8"/>
      <c r="H11" s="8" t="s">
        <v>1065</v>
      </c>
      <c r="I11" s="8" t="s">
        <v>947</v>
      </c>
      <c r="J11" s="8">
        <v>10</v>
      </c>
      <c r="K11" s="31"/>
      <c r="L11" s="8">
        <v>706101</v>
      </c>
    </row>
    <row r="12" spans="1:13">
      <c r="A12" s="4"/>
      <c r="B12" s="8">
        <v>7</v>
      </c>
      <c r="C12" s="47" t="s">
        <v>20</v>
      </c>
      <c r="D12" s="48" t="s">
        <v>2600</v>
      </c>
      <c r="E12" s="8"/>
      <c r="F12" s="8"/>
      <c r="G12" s="8"/>
      <c r="H12" s="8" t="s">
        <v>1065</v>
      </c>
      <c r="I12" s="8" t="s">
        <v>947</v>
      </c>
      <c r="J12" s="8">
        <v>24</v>
      </c>
      <c r="K12" s="31"/>
      <c r="L12" s="32" t="s">
        <v>2664</v>
      </c>
    </row>
    <row r="13" spans="1:13">
      <c r="A13" s="4"/>
      <c r="B13" s="8">
        <v>8</v>
      </c>
      <c r="C13" s="47" t="s">
        <v>2691</v>
      </c>
      <c r="D13" s="8" t="s">
        <v>329</v>
      </c>
      <c r="E13" s="8"/>
      <c r="F13" s="8"/>
      <c r="G13" s="8"/>
      <c r="H13" s="8"/>
      <c r="I13" s="8" t="s">
        <v>1053</v>
      </c>
      <c r="J13" s="8" t="s">
        <v>1054</v>
      </c>
      <c r="K13" s="31"/>
      <c r="L13" s="32"/>
    </row>
    <row r="14" spans="1:13">
      <c r="A14" s="4"/>
      <c r="B14" s="8">
        <v>9</v>
      </c>
      <c r="C14" s="47" t="s">
        <v>2692</v>
      </c>
      <c r="D14" s="8" t="s">
        <v>337</v>
      </c>
      <c r="E14" s="8"/>
      <c r="F14" s="8"/>
      <c r="G14" s="8"/>
      <c r="H14" s="8"/>
      <c r="I14" s="8" t="s">
        <v>1053</v>
      </c>
      <c r="J14" s="8" t="s">
        <v>1054</v>
      </c>
      <c r="K14" s="31"/>
      <c r="L14" s="32"/>
    </row>
    <row r="15" spans="1:13">
      <c r="A15" s="4"/>
      <c r="B15" s="8">
        <v>10</v>
      </c>
      <c r="C15" s="47" t="s">
        <v>2693</v>
      </c>
      <c r="D15" s="8" t="s">
        <v>344</v>
      </c>
      <c r="E15" s="8"/>
      <c r="F15" s="8"/>
      <c r="G15" s="8"/>
      <c r="H15" s="8"/>
      <c r="I15" s="8" t="s">
        <v>1053</v>
      </c>
      <c r="J15" s="8" t="s">
        <v>1054</v>
      </c>
      <c r="K15" s="31"/>
      <c r="L15" s="32"/>
    </row>
    <row r="16" spans="1:13">
      <c r="A16" s="4"/>
      <c r="B16" s="8">
        <v>11</v>
      </c>
      <c r="C16" s="47" t="s">
        <v>2694</v>
      </c>
      <c r="D16" s="8" t="s">
        <v>352</v>
      </c>
      <c r="E16" s="8"/>
      <c r="F16" s="8"/>
      <c r="G16" s="8"/>
      <c r="H16" s="8"/>
      <c r="I16" s="8" t="s">
        <v>1053</v>
      </c>
      <c r="J16" s="8" t="s">
        <v>1054</v>
      </c>
      <c r="K16" s="31"/>
      <c r="L16" s="32"/>
    </row>
    <row r="17" spans="1:13">
      <c r="A17" s="4"/>
      <c r="B17" s="8">
        <v>12</v>
      </c>
      <c r="C17" s="47" t="s">
        <v>2695</v>
      </c>
      <c r="D17" s="8" t="s">
        <v>360</v>
      </c>
      <c r="E17" s="8"/>
      <c r="F17" s="8"/>
      <c r="G17" s="8"/>
      <c r="H17" s="8"/>
      <c r="I17" s="8" t="s">
        <v>1053</v>
      </c>
      <c r="J17" s="8" t="s">
        <v>1054</v>
      </c>
      <c r="K17" s="31"/>
      <c r="L17" s="32"/>
    </row>
    <row r="18" spans="1:13">
      <c r="A18" s="4"/>
      <c r="B18" s="8">
        <v>13</v>
      </c>
      <c r="C18" s="47" t="s">
        <v>2696</v>
      </c>
      <c r="D18" s="8" t="s">
        <v>368</v>
      </c>
      <c r="E18" s="8"/>
      <c r="F18" s="8"/>
      <c r="G18" s="8"/>
      <c r="H18" s="8"/>
      <c r="I18" s="8" t="s">
        <v>1053</v>
      </c>
      <c r="J18" s="8" t="s">
        <v>1054</v>
      </c>
      <c r="K18" s="33"/>
      <c r="L18" s="32"/>
    </row>
    <row r="19" spans="1:13">
      <c r="A19" s="4"/>
      <c r="B19" s="8">
        <v>14</v>
      </c>
      <c r="C19" s="47" t="s">
        <v>2697</v>
      </c>
      <c r="D19" s="8" t="s">
        <v>376</v>
      </c>
      <c r="E19" s="8"/>
      <c r="F19" s="8"/>
      <c r="G19" s="8"/>
      <c r="H19" s="8"/>
      <c r="I19" s="8" t="s">
        <v>1053</v>
      </c>
      <c r="J19" s="8" t="s">
        <v>1054</v>
      </c>
      <c r="K19" s="33"/>
      <c r="L19" s="32"/>
    </row>
    <row r="20" spans="1:13">
      <c r="A20" s="4"/>
      <c r="B20" s="8">
        <v>15</v>
      </c>
      <c r="C20" s="47" t="s">
        <v>2698</v>
      </c>
      <c r="D20" s="8" t="s">
        <v>384</v>
      </c>
      <c r="E20" s="8"/>
      <c r="F20" s="8"/>
      <c r="G20" s="8"/>
      <c r="H20" s="8"/>
      <c r="I20" s="8" t="s">
        <v>1053</v>
      </c>
      <c r="J20" s="8" t="s">
        <v>1054</v>
      </c>
      <c r="K20" s="33"/>
      <c r="L20" s="32"/>
    </row>
    <row r="21" spans="1:13">
      <c r="A21" s="4"/>
      <c r="B21" s="8">
        <v>16</v>
      </c>
      <c r="C21" s="47" t="s">
        <v>2699</v>
      </c>
      <c r="D21" s="8" t="s">
        <v>392</v>
      </c>
      <c r="E21" s="8"/>
      <c r="F21" s="8"/>
      <c r="G21" s="8"/>
      <c r="H21" s="8"/>
      <c r="I21" s="8" t="s">
        <v>1053</v>
      </c>
      <c r="J21" s="8" t="s">
        <v>1054</v>
      </c>
      <c r="K21" s="33"/>
      <c r="L21" s="32"/>
    </row>
    <row r="22" spans="1:13">
      <c r="A22" s="4"/>
      <c r="B22" s="8">
        <v>17</v>
      </c>
      <c r="C22" s="47" t="s">
        <v>2700</v>
      </c>
      <c r="D22" s="8" t="s">
        <v>400</v>
      </c>
      <c r="E22" s="8"/>
      <c r="F22" s="8"/>
      <c r="G22" s="8"/>
      <c r="H22" s="8"/>
      <c r="I22" s="8" t="s">
        <v>1053</v>
      </c>
      <c r="J22" s="8" t="s">
        <v>1054</v>
      </c>
      <c r="K22" s="33"/>
      <c r="L22" s="32"/>
    </row>
    <row r="23" spans="1:13">
      <c r="A23" s="4"/>
      <c r="B23" s="8">
        <v>18</v>
      </c>
      <c r="C23" s="47" t="s">
        <v>2701</v>
      </c>
      <c r="D23" s="8" t="s">
        <v>408</v>
      </c>
      <c r="E23" s="8"/>
      <c r="F23" s="8"/>
      <c r="G23" s="8"/>
      <c r="H23" s="8"/>
      <c r="I23" s="8" t="s">
        <v>1053</v>
      </c>
      <c r="J23" s="8" t="s">
        <v>1054</v>
      </c>
      <c r="K23" s="33"/>
      <c r="L23" s="32"/>
    </row>
    <row r="24" spans="1:13">
      <c r="B24" s="8">
        <v>19</v>
      </c>
      <c r="C24" s="47" t="s">
        <v>2702</v>
      </c>
      <c r="D24" s="8" t="s">
        <v>414</v>
      </c>
      <c r="E24" s="16"/>
      <c r="F24" s="16"/>
      <c r="G24" s="16"/>
      <c r="H24" s="16"/>
      <c r="I24" s="8" t="s">
        <v>1053</v>
      </c>
      <c r="J24" s="8" t="s">
        <v>1054</v>
      </c>
      <c r="K24" s="16"/>
      <c r="L24" s="16"/>
    </row>
    <row r="25" spans="1:13" ht="33">
      <c r="B25" s="8">
        <v>20</v>
      </c>
      <c r="C25" s="202" t="s">
        <v>2703</v>
      </c>
      <c r="D25" s="202" t="s">
        <v>2704</v>
      </c>
      <c r="E25" s="222"/>
      <c r="F25" s="222"/>
      <c r="G25" s="222"/>
      <c r="H25" s="222"/>
      <c r="I25" s="202" t="s">
        <v>1516</v>
      </c>
      <c r="J25" s="202">
        <v>1</v>
      </c>
      <c r="K25" s="223" t="s">
        <v>2705</v>
      </c>
      <c r="L25" s="202" t="s">
        <v>2603</v>
      </c>
      <c r="M25" s="207" t="s">
        <v>2604</v>
      </c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2B273DF8-9A00-4730-A14C-5FFF1346EAAF}"/>
  </hyperlink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C0135-1CB5-4519-BA72-D7AF847259BB}">
  <sheetPr codeName="Sheet36">
    <tabColor rgb="FF92D050"/>
  </sheetPr>
  <dimension ref="A1:L28"/>
  <sheetViews>
    <sheetView topLeftCell="D4" workbookViewId="0">
      <selection activeCell="G24" sqref="G24"/>
    </sheetView>
  </sheetViews>
  <sheetFormatPr defaultRowHeight="16.5"/>
  <cols>
    <col min="2" max="2" width="6.875" bestFit="1" customWidth="1"/>
    <col min="3" max="3" width="16.5" bestFit="1" customWidth="1"/>
    <col min="4" max="4" width="33.75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52.875" bestFit="1" customWidth="1"/>
    <col min="12" max="12" width="34.625" customWidth="1"/>
  </cols>
  <sheetData>
    <row r="1" spans="1:12" ht="20.25">
      <c r="A1" s="4"/>
      <c r="B1" s="5" t="s">
        <v>1686</v>
      </c>
      <c r="D1" s="482" t="s">
        <v>2706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1158</v>
      </c>
      <c r="E3" s="495"/>
      <c r="F3" s="495"/>
      <c r="G3" s="496"/>
      <c r="H3" s="495" t="s">
        <v>2707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1447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2">
      <c r="A6" t="s">
        <v>1650</v>
      </c>
      <c r="B6" s="319">
        <v>1</v>
      </c>
      <c r="C6" s="319" t="s">
        <v>1515</v>
      </c>
      <c r="D6" s="320" t="s">
        <v>1546</v>
      </c>
      <c r="E6" s="319" t="s">
        <v>1065</v>
      </c>
      <c r="F6" s="319"/>
      <c r="G6" s="319"/>
      <c r="H6" s="319" t="s">
        <v>1065</v>
      </c>
      <c r="I6" s="319" t="s">
        <v>947</v>
      </c>
      <c r="J6" s="319">
        <v>20</v>
      </c>
      <c r="K6" s="321"/>
      <c r="L6" s="322"/>
    </row>
    <row r="7" spans="1:12" s="236" customFormat="1">
      <c r="A7" s="235"/>
      <c r="B7" s="219">
        <v>2</v>
      </c>
      <c r="C7" s="219" t="s">
        <v>270</v>
      </c>
      <c r="D7" s="424" t="s">
        <v>2003</v>
      </c>
      <c r="E7" s="219" t="s">
        <v>1065</v>
      </c>
      <c r="F7" s="219"/>
      <c r="G7" s="219"/>
      <c r="H7" s="219" t="s">
        <v>1065</v>
      </c>
      <c r="I7" s="315" t="s">
        <v>947</v>
      </c>
      <c r="J7" s="315">
        <v>4</v>
      </c>
      <c r="K7" s="321"/>
      <c r="L7" s="322">
        <v>2020</v>
      </c>
    </row>
    <row r="8" spans="1:12" s="236" customFormat="1">
      <c r="A8" s="235"/>
      <c r="B8" s="219">
        <v>3</v>
      </c>
      <c r="C8" s="219" t="s">
        <v>274</v>
      </c>
      <c r="D8" s="425" t="s">
        <v>1913</v>
      </c>
      <c r="E8" s="219" t="s">
        <v>1065</v>
      </c>
      <c r="F8" s="219"/>
      <c r="G8" s="219"/>
      <c r="H8" s="219" t="s">
        <v>1065</v>
      </c>
      <c r="I8" s="315" t="s">
        <v>947</v>
      </c>
      <c r="J8" s="315">
        <v>2</v>
      </c>
      <c r="K8" s="321" t="s">
        <v>2658</v>
      </c>
      <c r="L8" s="322">
        <v>10</v>
      </c>
    </row>
    <row r="9" spans="1:12">
      <c r="A9" s="4"/>
      <c r="B9" s="219">
        <v>4</v>
      </c>
      <c r="C9" s="219" t="s">
        <v>122</v>
      </c>
      <c r="D9" s="425" t="s">
        <v>1691</v>
      </c>
      <c r="E9" s="219" t="s">
        <v>1065</v>
      </c>
      <c r="F9" s="323" t="s">
        <v>1065</v>
      </c>
      <c r="G9" s="323" t="s">
        <v>1886</v>
      </c>
      <c r="H9" s="219" t="s">
        <v>1065</v>
      </c>
      <c r="I9" s="219" t="s">
        <v>947</v>
      </c>
      <c r="J9" s="219">
        <v>10</v>
      </c>
      <c r="K9" s="322"/>
      <c r="L9" s="322">
        <v>10955</v>
      </c>
    </row>
    <row r="10" spans="1:12">
      <c r="A10" s="4"/>
      <c r="B10" s="219">
        <v>5</v>
      </c>
      <c r="C10" s="324" t="s">
        <v>18</v>
      </c>
      <c r="D10" s="332" t="s">
        <v>19</v>
      </c>
      <c r="E10" s="219" t="s">
        <v>1065</v>
      </c>
      <c r="F10" s="323" t="s">
        <v>1065</v>
      </c>
      <c r="G10" s="323" t="s">
        <v>2659</v>
      </c>
      <c r="H10" s="219" t="s">
        <v>1065</v>
      </c>
      <c r="I10" s="219" t="s">
        <v>947</v>
      </c>
      <c r="J10" s="219">
        <v>10</v>
      </c>
      <c r="K10" s="321"/>
      <c r="L10" s="322">
        <v>706101</v>
      </c>
    </row>
    <row r="11" spans="1:12">
      <c r="A11" s="4"/>
      <c r="B11" s="219">
        <v>6</v>
      </c>
      <c r="C11" s="324" t="s">
        <v>6</v>
      </c>
      <c r="D11" s="332" t="s">
        <v>21</v>
      </c>
      <c r="E11" s="219"/>
      <c r="F11" s="323" t="s">
        <v>1065</v>
      </c>
      <c r="G11" s="323" t="s">
        <v>2660</v>
      </c>
      <c r="H11" s="219" t="s">
        <v>1065</v>
      </c>
      <c r="I11" s="219" t="s">
        <v>947</v>
      </c>
      <c r="J11" s="219">
        <v>24</v>
      </c>
      <c r="K11" s="321"/>
      <c r="L11" s="325" t="s">
        <v>2664</v>
      </c>
    </row>
    <row r="12" spans="1:12">
      <c r="A12" s="4"/>
      <c r="B12" s="219">
        <v>7</v>
      </c>
      <c r="C12" s="324" t="s">
        <v>2691</v>
      </c>
      <c r="D12" s="219" t="s">
        <v>329</v>
      </c>
      <c r="E12" s="219"/>
      <c r="F12" s="219"/>
      <c r="G12" s="219"/>
      <c r="H12" s="219"/>
      <c r="I12" s="219" t="s">
        <v>1053</v>
      </c>
      <c r="J12" s="219" t="s">
        <v>1054</v>
      </c>
      <c r="K12" s="321"/>
      <c r="L12" s="325"/>
    </row>
    <row r="13" spans="1:12">
      <c r="A13" s="4"/>
      <c r="B13" s="219">
        <v>8</v>
      </c>
      <c r="C13" s="324" t="s">
        <v>2692</v>
      </c>
      <c r="D13" s="219" t="s">
        <v>337</v>
      </c>
      <c r="E13" s="219"/>
      <c r="F13" s="219"/>
      <c r="G13" s="219"/>
      <c r="H13" s="219"/>
      <c r="I13" s="219" t="s">
        <v>1053</v>
      </c>
      <c r="J13" s="219" t="s">
        <v>1054</v>
      </c>
      <c r="K13" s="321"/>
      <c r="L13" s="325"/>
    </row>
    <row r="14" spans="1:12">
      <c r="A14" s="4"/>
      <c r="B14" s="219">
        <v>9</v>
      </c>
      <c r="C14" s="324" t="s">
        <v>2693</v>
      </c>
      <c r="D14" s="219" t="s">
        <v>344</v>
      </c>
      <c r="E14" s="219"/>
      <c r="F14" s="219"/>
      <c r="G14" s="219"/>
      <c r="H14" s="219"/>
      <c r="I14" s="219" t="s">
        <v>1053</v>
      </c>
      <c r="J14" s="219" t="s">
        <v>1054</v>
      </c>
      <c r="K14" s="321"/>
      <c r="L14" s="326"/>
    </row>
    <row r="15" spans="1:12">
      <c r="A15" s="4"/>
      <c r="B15" s="219">
        <v>10</v>
      </c>
      <c r="C15" s="324" t="s">
        <v>2694</v>
      </c>
      <c r="D15" s="219" t="s">
        <v>352</v>
      </c>
      <c r="E15" s="219"/>
      <c r="F15" s="219"/>
      <c r="G15" s="219"/>
      <c r="H15" s="219"/>
      <c r="I15" s="219" t="s">
        <v>1053</v>
      </c>
      <c r="J15" s="219" t="s">
        <v>1054</v>
      </c>
      <c r="K15" s="321"/>
      <c r="L15" s="326"/>
    </row>
    <row r="16" spans="1:12">
      <c r="A16" s="4"/>
      <c r="B16" s="219">
        <v>11</v>
      </c>
      <c r="C16" s="324" t="s">
        <v>2695</v>
      </c>
      <c r="D16" s="219" t="s">
        <v>360</v>
      </c>
      <c r="E16" s="219"/>
      <c r="F16" s="219"/>
      <c r="G16" s="219"/>
      <c r="H16" s="219"/>
      <c r="I16" s="219" t="s">
        <v>1053</v>
      </c>
      <c r="J16" s="219" t="s">
        <v>1054</v>
      </c>
      <c r="K16" s="321"/>
      <c r="L16" s="326"/>
    </row>
    <row r="17" spans="1:12">
      <c r="A17" s="4"/>
      <c r="B17" s="219">
        <v>12</v>
      </c>
      <c r="C17" s="324" t="s">
        <v>2696</v>
      </c>
      <c r="D17" s="219" t="s">
        <v>368</v>
      </c>
      <c r="E17" s="219"/>
      <c r="F17" s="219"/>
      <c r="G17" s="219"/>
      <c r="H17" s="219"/>
      <c r="I17" s="219" t="s">
        <v>1053</v>
      </c>
      <c r="J17" s="219" t="s">
        <v>1054</v>
      </c>
      <c r="K17" s="322"/>
      <c r="L17" s="326"/>
    </row>
    <row r="18" spans="1:12">
      <c r="A18" s="4"/>
      <c r="B18" s="219">
        <v>13</v>
      </c>
      <c r="C18" s="324" t="s">
        <v>2697</v>
      </c>
      <c r="D18" s="219" t="s">
        <v>376</v>
      </c>
      <c r="E18" s="219"/>
      <c r="F18" s="219"/>
      <c r="G18" s="219"/>
      <c r="H18" s="219"/>
      <c r="I18" s="219" t="s">
        <v>1053</v>
      </c>
      <c r="J18" s="219" t="s">
        <v>1054</v>
      </c>
      <c r="K18" s="322"/>
      <c r="L18" s="326"/>
    </row>
    <row r="19" spans="1:12">
      <c r="A19" s="4"/>
      <c r="B19" s="219">
        <v>14</v>
      </c>
      <c r="C19" s="324" t="s">
        <v>2698</v>
      </c>
      <c r="D19" s="219" t="s">
        <v>384</v>
      </c>
      <c r="E19" s="219"/>
      <c r="F19" s="219"/>
      <c r="G19" s="219"/>
      <c r="H19" s="219"/>
      <c r="I19" s="219" t="s">
        <v>1053</v>
      </c>
      <c r="J19" s="219" t="s">
        <v>1054</v>
      </c>
      <c r="K19" s="322"/>
      <c r="L19" s="326"/>
    </row>
    <row r="20" spans="1:12">
      <c r="A20" s="4"/>
      <c r="B20" s="219">
        <v>15</v>
      </c>
      <c r="C20" s="324" t="s">
        <v>2699</v>
      </c>
      <c r="D20" s="219" t="s">
        <v>392</v>
      </c>
      <c r="E20" s="219"/>
      <c r="F20" s="219"/>
      <c r="G20" s="219"/>
      <c r="H20" s="219"/>
      <c r="I20" s="219" t="s">
        <v>1053</v>
      </c>
      <c r="J20" s="219" t="s">
        <v>1054</v>
      </c>
      <c r="K20" s="322"/>
      <c r="L20" s="326"/>
    </row>
    <row r="21" spans="1:12">
      <c r="A21" s="4"/>
      <c r="B21" s="219">
        <v>16</v>
      </c>
      <c r="C21" s="324" t="s">
        <v>2700</v>
      </c>
      <c r="D21" s="219" t="s">
        <v>400</v>
      </c>
      <c r="E21" s="219"/>
      <c r="F21" s="219"/>
      <c r="G21" s="219"/>
      <c r="H21" s="219"/>
      <c r="I21" s="219" t="s">
        <v>1053</v>
      </c>
      <c r="J21" s="219" t="s">
        <v>1054</v>
      </c>
      <c r="K21" s="322"/>
      <c r="L21" s="326"/>
    </row>
    <row r="22" spans="1:12">
      <c r="A22" s="4"/>
      <c r="B22" s="219">
        <v>17</v>
      </c>
      <c r="C22" s="324" t="s">
        <v>2701</v>
      </c>
      <c r="D22" s="219" t="s">
        <v>408</v>
      </c>
      <c r="E22" s="219"/>
      <c r="F22" s="219"/>
      <c r="G22" s="219"/>
      <c r="H22" s="219"/>
      <c r="I22" s="219" t="s">
        <v>1053</v>
      </c>
      <c r="J22" s="219" t="s">
        <v>1054</v>
      </c>
      <c r="K22" s="322"/>
      <c r="L22" s="326"/>
    </row>
    <row r="23" spans="1:12">
      <c r="B23" s="219">
        <v>18</v>
      </c>
      <c r="C23" s="324" t="s">
        <v>2702</v>
      </c>
      <c r="D23" s="219" t="s">
        <v>414</v>
      </c>
      <c r="E23" s="219"/>
      <c r="F23" s="219"/>
      <c r="G23" s="219"/>
      <c r="H23" s="219"/>
      <c r="I23" s="219" t="s">
        <v>1053</v>
      </c>
      <c r="J23" s="219" t="s">
        <v>1054</v>
      </c>
      <c r="K23" s="219"/>
      <c r="L23" s="219"/>
    </row>
    <row r="24" spans="1:12" ht="33">
      <c r="B24" s="219">
        <v>19</v>
      </c>
      <c r="C24" s="219" t="s">
        <v>2703</v>
      </c>
      <c r="D24" s="219" t="s">
        <v>2708</v>
      </c>
      <c r="E24" s="327"/>
      <c r="F24" s="327"/>
      <c r="G24" s="327"/>
      <c r="H24" s="327"/>
      <c r="I24" s="219" t="s">
        <v>1019</v>
      </c>
      <c r="J24" s="327"/>
      <c r="K24" s="323" t="s">
        <v>2709</v>
      </c>
      <c r="L24" s="327" t="b">
        <v>1</v>
      </c>
    </row>
    <row r="25" spans="1:12">
      <c r="B25" s="219">
        <v>20</v>
      </c>
      <c r="C25" s="328" t="s">
        <v>27</v>
      </c>
      <c r="D25" s="328" t="s">
        <v>28</v>
      </c>
      <c r="E25" s="328" t="s">
        <v>1072</v>
      </c>
      <c r="F25" s="328" t="s">
        <v>1072</v>
      </c>
      <c r="G25" s="328" t="s">
        <v>1072</v>
      </c>
      <c r="H25" s="328" t="s">
        <v>1072</v>
      </c>
      <c r="I25" s="328" t="s">
        <v>951</v>
      </c>
      <c r="J25" s="328"/>
      <c r="K25" s="329" t="s">
        <v>1511</v>
      </c>
      <c r="L25" s="330" t="s">
        <v>1072</v>
      </c>
    </row>
    <row r="26" spans="1:12">
      <c r="B26" s="219">
        <v>21</v>
      </c>
      <c r="C26" s="328" t="s">
        <v>33</v>
      </c>
      <c r="D26" s="328" t="s">
        <v>34</v>
      </c>
      <c r="E26" s="328" t="s">
        <v>1072</v>
      </c>
      <c r="F26" s="328" t="s">
        <v>1072</v>
      </c>
      <c r="G26" s="328" t="s">
        <v>1072</v>
      </c>
      <c r="H26" s="328" t="s">
        <v>1072</v>
      </c>
      <c r="I26" s="328" t="s">
        <v>947</v>
      </c>
      <c r="J26" s="328"/>
      <c r="K26" s="329" t="s">
        <v>1511</v>
      </c>
      <c r="L26" s="330" t="s">
        <v>1072</v>
      </c>
    </row>
    <row r="27" spans="1:12">
      <c r="B27" s="219">
        <v>22</v>
      </c>
      <c r="C27" s="328" t="s">
        <v>37</v>
      </c>
      <c r="D27" s="328" t="s">
        <v>38</v>
      </c>
      <c r="E27" s="328" t="s">
        <v>1072</v>
      </c>
      <c r="F27" s="328" t="s">
        <v>1072</v>
      </c>
      <c r="G27" s="328" t="s">
        <v>1072</v>
      </c>
      <c r="H27" s="328" t="s">
        <v>1072</v>
      </c>
      <c r="I27" s="328" t="s">
        <v>951</v>
      </c>
      <c r="J27" s="328"/>
      <c r="K27" s="329" t="s">
        <v>1511</v>
      </c>
      <c r="L27" s="330" t="s">
        <v>1072</v>
      </c>
    </row>
    <row r="28" spans="1:12">
      <c r="B28" s="219">
        <v>23</v>
      </c>
      <c r="C28" s="328" t="s">
        <v>43</v>
      </c>
      <c r="D28" s="328" t="s">
        <v>44</v>
      </c>
      <c r="E28" s="328" t="s">
        <v>1072</v>
      </c>
      <c r="F28" s="328" t="s">
        <v>1072</v>
      </c>
      <c r="G28" s="328" t="s">
        <v>1072</v>
      </c>
      <c r="H28" s="328" t="s">
        <v>1072</v>
      </c>
      <c r="I28" s="328" t="s">
        <v>947</v>
      </c>
      <c r="J28" s="328"/>
      <c r="K28" s="329" t="s">
        <v>1511</v>
      </c>
      <c r="L28" s="330" t="s">
        <v>1072</v>
      </c>
    </row>
  </sheetData>
  <mergeCells count="7">
    <mergeCell ref="D1:L1"/>
    <mergeCell ref="A2:B2"/>
    <mergeCell ref="B3:C3"/>
    <mergeCell ref="B4:C4"/>
    <mergeCell ref="D4:J4"/>
    <mergeCell ref="D3:G3"/>
    <mergeCell ref="H3:J3"/>
  </mergeCells>
  <phoneticPr fontId="1" type="noConversion"/>
  <hyperlinks>
    <hyperlink ref="B1" location="Index!A1" display="Index!A1" xr:uid="{2C562074-18E1-45DA-8E74-DD30E4BDE382}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CAD2E-A164-4FF3-B5AF-0EB3747D7B22}">
  <sheetPr codeName="Sheet69">
    <tabColor rgb="FF92D050"/>
  </sheetPr>
  <dimension ref="A1:L16"/>
  <sheetViews>
    <sheetView workbookViewId="0">
      <selection activeCell="G10" sqref="G10"/>
    </sheetView>
  </sheetViews>
  <sheetFormatPr defaultRowHeight="16.5"/>
  <cols>
    <col min="2" max="2" width="6.875" bestFit="1" customWidth="1"/>
    <col min="3" max="3" width="16.5" bestFit="1" customWidth="1"/>
    <col min="4" max="4" width="33.75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52.875" bestFit="1" customWidth="1"/>
    <col min="12" max="12" width="34.625" customWidth="1"/>
  </cols>
  <sheetData>
    <row r="1" spans="1:12" ht="20.25">
      <c r="A1" s="4"/>
      <c r="B1" s="361" t="s">
        <v>1686</v>
      </c>
      <c r="D1" s="482" t="s">
        <v>2710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1448</v>
      </c>
      <c r="E3" s="495"/>
      <c r="F3" s="495"/>
      <c r="G3" s="496"/>
      <c r="H3" s="495" t="s">
        <v>2711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1447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2" s="236" customFormat="1">
      <c r="A6" s="235"/>
      <c r="B6" s="219">
        <v>1</v>
      </c>
      <c r="C6" s="219" t="s">
        <v>270</v>
      </c>
      <c r="D6" s="323" t="s">
        <v>2003</v>
      </c>
      <c r="E6" s="219" t="s">
        <v>1065</v>
      </c>
      <c r="F6" s="219"/>
      <c r="G6" s="219"/>
      <c r="H6" s="219" t="s">
        <v>1065</v>
      </c>
      <c r="I6" s="400" t="s">
        <v>947</v>
      </c>
      <c r="J6" s="400">
        <v>4</v>
      </c>
      <c r="K6" s="321"/>
      <c r="L6" s="322">
        <v>2020</v>
      </c>
    </row>
    <row r="7" spans="1:12" s="236" customFormat="1">
      <c r="A7" s="235"/>
      <c r="B7" s="219">
        <v>2</v>
      </c>
      <c r="C7" s="219" t="s">
        <v>274</v>
      </c>
      <c r="D7" s="323" t="s">
        <v>2712</v>
      </c>
      <c r="E7" s="219" t="s">
        <v>1065</v>
      </c>
      <c r="F7" s="219"/>
      <c r="G7" s="219"/>
      <c r="H7" s="219" t="s">
        <v>1065</v>
      </c>
      <c r="I7" s="400" t="s">
        <v>947</v>
      </c>
      <c r="J7" s="400">
        <v>2</v>
      </c>
      <c r="K7" s="321" t="s">
        <v>2713</v>
      </c>
      <c r="L7" s="322">
        <v>10</v>
      </c>
    </row>
    <row r="8" spans="1:12">
      <c r="A8" s="4"/>
      <c r="B8" s="219">
        <v>3</v>
      </c>
      <c r="C8" s="219" t="s">
        <v>122</v>
      </c>
      <c r="D8" s="424" t="s">
        <v>1691</v>
      </c>
      <c r="E8" s="219" t="s">
        <v>1065</v>
      </c>
      <c r="F8" s="323" t="s">
        <v>1065</v>
      </c>
      <c r="G8" s="323" t="s">
        <v>1886</v>
      </c>
      <c r="H8" s="219" t="s">
        <v>1065</v>
      </c>
      <c r="I8" s="219" t="s">
        <v>947</v>
      </c>
      <c r="J8" s="219">
        <v>10</v>
      </c>
      <c r="K8" s="322"/>
      <c r="L8" s="322">
        <v>10955</v>
      </c>
    </row>
    <row r="9" spans="1:12">
      <c r="A9" s="4"/>
      <c r="B9" s="219">
        <v>4</v>
      </c>
      <c r="C9" s="324" t="s">
        <v>18</v>
      </c>
      <c r="D9" s="332" t="s">
        <v>19</v>
      </c>
      <c r="E9" s="219" t="s">
        <v>1065</v>
      </c>
      <c r="F9" s="323" t="s">
        <v>1065</v>
      </c>
      <c r="G9" s="323" t="s">
        <v>2659</v>
      </c>
      <c r="H9" s="219" t="s">
        <v>1065</v>
      </c>
      <c r="I9" s="219" t="s">
        <v>947</v>
      </c>
      <c r="J9" s="219">
        <v>10</v>
      </c>
      <c r="K9" s="321"/>
      <c r="L9" s="322">
        <v>706101</v>
      </c>
    </row>
    <row r="10" spans="1:12">
      <c r="A10" s="4"/>
      <c r="B10" s="219">
        <v>5</v>
      </c>
      <c r="C10" s="324" t="s">
        <v>6</v>
      </c>
      <c r="D10" s="332" t="s">
        <v>21</v>
      </c>
      <c r="E10" s="219"/>
      <c r="F10" s="323" t="s">
        <v>1065</v>
      </c>
      <c r="G10" s="323" t="s">
        <v>2714</v>
      </c>
      <c r="H10" s="219" t="s">
        <v>1065</v>
      </c>
      <c r="I10" s="219" t="s">
        <v>947</v>
      </c>
      <c r="J10" s="219">
        <v>24</v>
      </c>
      <c r="K10" s="321"/>
      <c r="L10" s="325" t="s">
        <v>2664</v>
      </c>
    </row>
    <row r="11" spans="1:12">
      <c r="A11" s="4"/>
      <c r="B11" s="219">
        <v>6</v>
      </c>
      <c r="C11" s="324" t="s">
        <v>2715</v>
      </c>
      <c r="D11" s="315" t="s">
        <v>2716</v>
      </c>
      <c r="E11" s="219"/>
      <c r="F11" s="219"/>
      <c r="G11" s="219"/>
      <c r="H11" s="219"/>
      <c r="I11" s="219" t="s">
        <v>1053</v>
      </c>
      <c r="J11" s="219" t="s">
        <v>1054</v>
      </c>
      <c r="K11" s="321" t="s">
        <v>2717</v>
      </c>
      <c r="L11" s="325"/>
    </row>
    <row r="12" spans="1:12" ht="33">
      <c r="B12" s="219">
        <v>7</v>
      </c>
      <c r="C12" s="219" t="s">
        <v>2703</v>
      </c>
      <c r="D12" s="219" t="s">
        <v>2708</v>
      </c>
      <c r="E12" s="327"/>
      <c r="F12" s="327"/>
      <c r="G12" s="327"/>
      <c r="H12" s="327"/>
      <c r="I12" s="219" t="s">
        <v>1019</v>
      </c>
      <c r="J12" s="327"/>
      <c r="K12" s="323" t="s">
        <v>2705</v>
      </c>
      <c r="L12" s="327" t="b">
        <v>1</v>
      </c>
    </row>
    <row r="13" spans="1:12">
      <c r="B13" s="219">
        <v>8</v>
      </c>
      <c r="C13" s="328" t="s">
        <v>27</v>
      </c>
      <c r="D13" s="328" t="s">
        <v>28</v>
      </c>
      <c r="E13" s="328" t="s">
        <v>1072</v>
      </c>
      <c r="F13" s="328" t="s">
        <v>1072</v>
      </c>
      <c r="G13" s="328" t="s">
        <v>1072</v>
      </c>
      <c r="H13" s="328" t="s">
        <v>1072</v>
      </c>
      <c r="I13" s="328" t="s">
        <v>951</v>
      </c>
      <c r="J13" s="328"/>
      <c r="K13" s="329" t="s">
        <v>1511</v>
      </c>
      <c r="L13" s="330" t="s">
        <v>1072</v>
      </c>
    </row>
    <row r="14" spans="1:12">
      <c r="B14" s="219">
        <v>9</v>
      </c>
      <c r="C14" s="328" t="s">
        <v>33</v>
      </c>
      <c r="D14" s="328" t="s">
        <v>34</v>
      </c>
      <c r="E14" s="328" t="s">
        <v>1072</v>
      </c>
      <c r="F14" s="328" t="s">
        <v>1072</v>
      </c>
      <c r="G14" s="328" t="s">
        <v>1072</v>
      </c>
      <c r="H14" s="328" t="s">
        <v>1072</v>
      </c>
      <c r="I14" s="328" t="s">
        <v>947</v>
      </c>
      <c r="J14" s="328"/>
      <c r="K14" s="329" t="s">
        <v>1511</v>
      </c>
      <c r="L14" s="330" t="s">
        <v>1072</v>
      </c>
    </row>
    <row r="15" spans="1:12">
      <c r="B15" s="219">
        <v>10</v>
      </c>
      <c r="C15" s="328" t="s">
        <v>37</v>
      </c>
      <c r="D15" s="328" t="s">
        <v>38</v>
      </c>
      <c r="E15" s="328" t="s">
        <v>1072</v>
      </c>
      <c r="F15" s="328" t="s">
        <v>1072</v>
      </c>
      <c r="G15" s="328" t="s">
        <v>1072</v>
      </c>
      <c r="H15" s="328" t="s">
        <v>1072</v>
      </c>
      <c r="I15" s="328" t="s">
        <v>951</v>
      </c>
      <c r="J15" s="328"/>
      <c r="K15" s="329" t="s">
        <v>1511</v>
      </c>
      <c r="L15" s="330" t="s">
        <v>1072</v>
      </c>
    </row>
    <row r="16" spans="1:12">
      <c r="B16" s="219">
        <v>11</v>
      </c>
      <c r="C16" s="328" t="s">
        <v>43</v>
      </c>
      <c r="D16" s="328" t="s">
        <v>44</v>
      </c>
      <c r="E16" s="328" t="s">
        <v>1072</v>
      </c>
      <c r="F16" s="328" t="s">
        <v>1072</v>
      </c>
      <c r="G16" s="328" t="s">
        <v>1072</v>
      </c>
      <c r="H16" s="328" t="s">
        <v>1072</v>
      </c>
      <c r="I16" s="328" t="s">
        <v>947</v>
      </c>
      <c r="J16" s="328"/>
      <c r="K16" s="329" t="s">
        <v>1511</v>
      </c>
      <c r="L16" s="330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5C3F2716-C61F-4724-B626-3FC81953BE6C}"/>
  </hyperlink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2B5B2-E935-4C39-BE91-429D311F26C6}">
  <sheetPr codeName="Sheet44">
    <tabColor rgb="FF0066FF"/>
  </sheetPr>
  <dimension ref="A1:M51"/>
  <sheetViews>
    <sheetView zoomScaleNormal="100" workbookViewId="0">
      <selection activeCell="D11" sqref="D11"/>
    </sheetView>
  </sheetViews>
  <sheetFormatPr defaultRowHeight="16.5"/>
  <cols>
    <col min="2" max="2" width="6.875" bestFit="1" customWidth="1"/>
    <col min="3" max="3" width="20.5" bestFit="1" customWidth="1"/>
    <col min="4" max="4" width="28.75" bestFit="1" customWidth="1"/>
    <col min="5" max="5" width="3.75" bestFit="1" customWidth="1"/>
    <col min="6" max="6" width="3.75" customWidth="1"/>
    <col min="7" max="7" width="25.125" bestFit="1" customWidth="1"/>
    <col min="8" max="8" width="10.5" bestFit="1" customWidth="1"/>
    <col min="9" max="9" width="11.625" bestFit="1" customWidth="1"/>
    <col min="10" max="10" width="8.5" bestFit="1" customWidth="1"/>
    <col min="11" max="11" width="46.75" customWidth="1"/>
    <col min="12" max="12" width="34.625" customWidth="1"/>
  </cols>
  <sheetData>
    <row r="1" spans="1:13" ht="20.25">
      <c r="A1" s="4"/>
      <c r="B1" s="258" t="s">
        <v>1686</v>
      </c>
      <c r="D1" s="482" t="s">
        <v>1475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2718</v>
      </c>
      <c r="E3" s="495"/>
      <c r="F3" s="495"/>
      <c r="G3" s="496"/>
      <c r="H3" s="495" t="s">
        <v>2719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2720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3">
      <c r="A6" s="4"/>
      <c r="B6" s="8">
        <v>1</v>
      </c>
      <c r="C6" s="149" t="s">
        <v>972</v>
      </c>
      <c r="D6" s="150" t="s">
        <v>1949</v>
      </c>
      <c r="E6" s="149"/>
      <c r="F6" s="149"/>
      <c r="G6" s="149"/>
      <c r="H6" s="149" t="s">
        <v>1262</v>
      </c>
      <c r="I6" s="149" t="s">
        <v>1792</v>
      </c>
      <c r="J6" s="149"/>
      <c r="K6" s="151" t="s">
        <v>975</v>
      </c>
      <c r="L6" s="151"/>
    </row>
    <row r="7" spans="1:13">
      <c r="A7" s="4"/>
      <c r="B7" s="8">
        <v>2</v>
      </c>
      <c r="C7" s="152" t="s">
        <v>35</v>
      </c>
      <c r="D7" s="149" t="s">
        <v>36</v>
      </c>
      <c r="E7" s="149"/>
      <c r="F7" s="149"/>
      <c r="G7" s="149"/>
      <c r="H7" s="149"/>
      <c r="I7" s="149" t="s">
        <v>947</v>
      </c>
      <c r="J7" s="149">
        <v>10</v>
      </c>
      <c r="K7" s="153" t="s">
        <v>978</v>
      </c>
      <c r="L7" s="154" t="s">
        <v>1798</v>
      </c>
      <c r="M7" t="s">
        <v>1640</v>
      </c>
    </row>
    <row r="8" spans="1:13">
      <c r="A8" s="4"/>
      <c r="B8" s="8">
        <v>3</v>
      </c>
      <c r="C8" s="8" t="s">
        <v>1082</v>
      </c>
      <c r="D8" s="42" t="s">
        <v>1123</v>
      </c>
      <c r="E8" s="16" t="s">
        <v>1262</v>
      </c>
      <c r="F8" s="8"/>
      <c r="G8" s="8"/>
      <c r="H8" s="16" t="s">
        <v>1807</v>
      </c>
      <c r="I8" s="16" t="s">
        <v>947</v>
      </c>
      <c r="J8" s="16">
        <v>6</v>
      </c>
      <c r="K8" s="31"/>
      <c r="L8" s="33"/>
    </row>
    <row r="9" spans="1:13">
      <c r="A9" s="4"/>
      <c r="B9" s="8">
        <v>4</v>
      </c>
      <c r="C9" s="8" t="s">
        <v>1084</v>
      </c>
      <c r="D9" s="42" t="s">
        <v>2004</v>
      </c>
      <c r="E9" s="16" t="s">
        <v>1262</v>
      </c>
      <c r="F9" s="8"/>
      <c r="G9" s="8"/>
      <c r="H9" s="16" t="s">
        <v>1807</v>
      </c>
      <c r="I9" s="16" t="s">
        <v>947</v>
      </c>
      <c r="J9" s="16">
        <v>6</v>
      </c>
      <c r="K9" s="148"/>
      <c r="L9" s="35"/>
    </row>
    <row r="10" spans="1:13">
      <c r="A10" s="4"/>
      <c r="B10" s="8">
        <v>5</v>
      </c>
      <c r="C10" s="8" t="s">
        <v>1914</v>
      </c>
      <c r="D10" s="42" t="s">
        <v>1039</v>
      </c>
      <c r="E10" s="16" t="s">
        <v>1262</v>
      </c>
      <c r="F10" s="8"/>
      <c r="G10" s="8"/>
      <c r="H10" s="16" t="s">
        <v>1807</v>
      </c>
      <c r="I10" s="16" t="s">
        <v>947</v>
      </c>
      <c r="J10" s="16">
        <v>20</v>
      </c>
      <c r="K10" s="31"/>
      <c r="L10" s="33"/>
    </row>
    <row r="11" spans="1:13">
      <c r="A11" s="4"/>
      <c r="B11" s="8">
        <v>6</v>
      </c>
      <c r="C11" s="47" t="s">
        <v>2721</v>
      </c>
      <c r="D11" s="15" t="s">
        <v>1917</v>
      </c>
      <c r="E11" s="202"/>
      <c r="F11" s="8"/>
      <c r="G11" s="8"/>
      <c r="H11" s="202"/>
      <c r="I11" s="16" t="s">
        <v>947</v>
      </c>
      <c r="J11" s="16">
        <v>300</v>
      </c>
      <c r="K11" s="31"/>
      <c r="L11" s="33"/>
    </row>
    <row r="12" spans="1:13">
      <c r="B12" s="8">
        <v>7</v>
      </c>
      <c r="C12" s="47" t="s">
        <v>1809</v>
      </c>
      <c r="D12" s="48" t="s">
        <v>1810</v>
      </c>
      <c r="E12" s="8"/>
      <c r="F12" s="8"/>
      <c r="G12" s="8" t="s">
        <v>2353</v>
      </c>
      <c r="H12" s="312"/>
      <c r="I12" s="16" t="s">
        <v>947</v>
      </c>
      <c r="J12" s="16">
        <v>10</v>
      </c>
      <c r="K12" s="31"/>
      <c r="L12" s="33"/>
    </row>
    <row r="13" spans="1:13">
      <c r="B13" s="8">
        <v>8</v>
      </c>
      <c r="C13" s="47" t="s">
        <v>56</v>
      </c>
      <c r="D13" s="48" t="s">
        <v>2089</v>
      </c>
      <c r="E13" s="8"/>
      <c r="F13" s="8"/>
      <c r="G13" s="8" t="s">
        <v>2354</v>
      </c>
      <c r="H13" s="8"/>
      <c r="I13" s="16" t="s">
        <v>947</v>
      </c>
      <c r="J13" s="16">
        <v>100</v>
      </c>
      <c r="K13" s="31"/>
      <c r="L13" s="136"/>
    </row>
    <row r="14" spans="1:13">
      <c r="B14" s="8">
        <v>9</v>
      </c>
      <c r="C14" s="47" t="s">
        <v>1799</v>
      </c>
      <c r="D14" s="48" t="s">
        <v>1800</v>
      </c>
      <c r="E14" s="8"/>
      <c r="F14" s="8"/>
      <c r="G14" s="8" t="s">
        <v>1886</v>
      </c>
      <c r="H14" s="16" t="s">
        <v>1262</v>
      </c>
      <c r="I14" s="8" t="s">
        <v>947</v>
      </c>
      <c r="J14" s="8">
        <v>8</v>
      </c>
      <c r="K14" s="31"/>
      <c r="L14" s="136"/>
    </row>
    <row r="15" spans="1:13">
      <c r="B15" s="8">
        <v>10</v>
      </c>
      <c r="C15" s="16" t="s">
        <v>1765</v>
      </c>
      <c r="D15" s="48" t="s">
        <v>1801</v>
      </c>
      <c r="E15" s="16"/>
      <c r="F15" s="16"/>
      <c r="G15" s="8" t="s">
        <v>1886</v>
      </c>
      <c r="H15" s="16" t="s">
        <v>1262</v>
      </c>
      <c r="I15" s="8" t="s">
        <v>947</v>
      </c>
      <c r="J15" s="8">
        <v>8</v>
      </c>
      <c r="K15" s="79"/>
      <c r="L15" s="79"/>
    </row>
    <row r="16" spans="1:13">
      <c r="B16" s="8">
        <v>11</v>
      </c>
      <c r="C16" s="16" t="s">
        <v>2026</v>
      </c>
      <c r="D16" s="16" t="s">
        <v>1955</v>
      </c>
      <c r="E16" s="16"/>
      <c r="F16" s="16"/>
      <c r="G16" s="16"/>
      <c r="H16" s="16"/>
      <c r="I16" s="16" t="s">
        <v>1053</v>
      </c>
      <c r="J16" s="16" t="s">
        <v>1054</v>
      </c>
      <c r="K16" s="16"/>
      <c r="L16" s="16"/>
    </row>
    <row r="17" spans="2:12">
      <c r="B17" s="8">
        <v>12</v>
      </c>
      <c r="C17" s="16" t="s">
        <v>841</v>
      </c>
      <c r="D17" s="16" t="s">
        <v>1956</v>
      </c>
      <c r="E17" s="16"/>
      <c r="F17" s="16"/>
      <c r="G17" s="16"/>
      <c r="H17" s="16"/>
      <c r="I17" s="16" t="s">
        <v>1053</v>
      </c>
      <c r="J17" s="16" t="s">
        <v>1054</v>
      </c>
      <c r="K17" s="16"/>
      <c r="L17" s="16"/>
    </row>
    <row r="18" spans="2:12">
      <c r="B18" s="8">
        <v>13</v>
      </c>
      <c r="C18" s="16" t="s">
        <v>843</v>
      </c>
      <c r="D18" s="16" t="s">
        <v>1957</v>
      </c>
      <c r="E18" s="16"/>
      <c r="F18" s="16"/>
      <c r="G18" s="16"/>
      <c r="H18" s="16"/>
      <c r="I18" s="16" t="s">
        <v>1053</v>
      </c>
      <c r="J18" s="16" t="s">
        <v>1054</v>
      </c>
      <c r="K18" s="16"/>
      <c r="L18" s="16"/>
    </row>
    <row r="19" spans="2:12">
      <c r="B19" s="8">
        <v>14</v>
      </c>
      <c r="C19" s="16" t="s">
        <v>845</v>
      </c>
      <c r="D19" s="16" t="s">
        <v>1958</v>
      </c>
      <c r="E19" s="16"/>
      <c r="F19" s="16"/>
      <c r="G19" s="16"/>
      <c r="H19" s="16"/>
      <c r="I19" s="16" t="s">
        <v>1053</v>
      </c>
      <c r="J19" s="16" t="s">
        <v>1054</v>
      </c>
      <c r="K19" s="16"/>
      <c r="L19" s="16"/>
    </row>
    <row r="20" spans="2:12">
      <c r="B20" s="8">
        <v>15</v>
      </c>
      <c r="C20" s="16" t="s">
        <v>847</v>
      </c>
      <c r="D20" s="16" t="s">
        <v>1959</v>
      </c>
      <c r="E20" s="16"/>
      <c r="F20" s="16"/>
      <c r="G20" s="16"/>
      <c r="H20" s="16"/>
      <c r="I20" s="16" t="s">
        <v>1053</v>
      </c>
      <c r="J20" s="16" t="s">
        <v>1054</v>
      </c>
      <c r="K20" s="16"/>
      <c r="L20" s="3"/>
    </row>
    <row r="21" spans="2:12">
      <c r="B21" s="8">
        <v>16</v>
      </c>
      <c r="C21" s="16" t="s">
        <v>849</v>
      </c>
      <c r="D21" s="16" t="s">
        <v>1960</v>
      </c>
      <c r="E21" s="16"/>
      <c r="F21" s="16"/>
      <c r="G21" s="16"/>
      <c r="H21" s="16"/>
      <c r="I21" s="16" t="s">
        <v>1053</v>
      </c>
      <c r="J21" s="16" t="s">
        <v>1054</v>
      </c>
      <c r="K21" s="16"/>
      <c r="L21" s="3"/>
    </row>
    <row r="22" spans="2:12">
      <c r="B22" s="8">
        <v>17</v>
      </c>
      <c r="C22" s="16" t="s">
        <v>851</v>
      </c>
      <c r="D22" s="16" t="s">
        <v>1961</v>
      </c>
      <c r="E22" s="16"/>
      <c r="F22" s="16"/>
      <c r="G22" s="16"/>
      <c r="H22" s="16"/>
      <c r="I22" s="16" t="s">
        <v>1053</v>
      </c>
      <c r="J22" s="16" t="s">
        <v>1054</v>
      </c>
      <c r="K22" s="16"/>
      <c r="L22" s="3"/>
    </row>
    <row r="23" spans="2:12">
      <c r="B23" s="8">
        <v>18</v>
      </c>
      <c r="C23" s="16" t="s">
        <v>853</v>
      </c>
      <c r="D23" s="16" t="s">
        <v>1962</v>
      </c>
      <c r="E23" s="16"/>
      <c r="F23" s="16"/>
      <c r="G23" s="16"/>
      <c r="H23" s="16"/>
      <c r="I23" s="16" t="s">
        <v>1053</v>
      </c>
      <c r="J23" s="16" t="s">
        <v>1054</v>
      </c>
      <c r="K23" s="16"/>
      <c r="L23" s="3"/>
    </row>
    <row r="24" spans="2:12">
      <c r="B24" s="8">
        <v>19</v>
      </c>
      <c r="C24" s="16" t="s">
        <v>855</v>
      </c>
      <c r="D24" s="16" t="s">
        <v>1052</v>
      </c>
      <c r="E24" s="16"/>
      <c r="F24" s="16"/>
      <c r="G24" s="16"/>
      <c r="H24" s="16"/>
      <c r="I24" s="16" t="s">
        <v>1053</v>
      </c>
      <c r="J24" s="16" t="s">
        <v>1054</v>
      </c>
      <c r="K24" s="16"/>
      <c r="L24" s="3"/>
    </row>
    <row r="25" spans="2:12">
      <c r="B25" s="8">
        <v>20</v>
      </c>
      <c r="C25" s="16" t="s">
        <v>857</v>
      </c>
      <c r="D25" s="16" t="s">
        <v>1963</v>
      </c>
      <c r="E25" s="16"/>
      <c r="F25" s="16"/>
      <c r="G25" s="16"/>
      <c r="H25" s="16"/>
      <c r="I25" s="16" t="s">
        <v>1053</v>
      </c>
      <c r="J25" s="16" t="s">
        <v>1054</v>
      </c>
      <c r="K25" s="16"/>
      <c r="L25" s="3"/>
    </row>
    <row r="26" spans="2:12">
      <c r="B26" s="8">
        <v>21</v>
      </c>
      <c r="C26" s="16" t="s">
        <v>859</v>
      </c>
      <c r="D26" s="16" t="s">
        <v>1964</v>
      </c>
      <c r="E26" s="16"/>
      <c r="F26" s="16"/>
      <c r="G26" s="16"/>
      <c r="H26" s="16"/>
      <c r="I26" s="16" t="s">
        <v>1053</v>
      </c>
      <c r="J26" s="16" t="s">
        <v>1054</v>
      </c>
      <c r="K26" s="16"/>
      <c r="L26" s="3"/>
    </row>
    <row r="27" spans="2:12">
      <c r="B27" s="8">
        <v>22</v>
      </c>
      <c r="C27" s="16" t="s">
        <v>861</v>
      </c>
      <c r="D27" s="16" t="s">
        <v>1965</v>
      </c>
      <c r="E27" s="16"/>
      <c r="F27" s="16"/>
      <c r="G27" s="16"/>
      <c r="H27" s="16"/>
      <c r="I27" s="16" t="s">
        <v>1053</v>
      </c>
      <c r="J27" s="16" t="s">
        <v>1054</v>
      </c>
      <c r="K27" s="16"/>
      <c r="L27" s="3"/>
    </row>
    <row r="28" spans="2:12">
      <c r="B28" s="8">
        <v>23</v>
      </c>
      <c r="C28" s="16" t="s">
        <v>2028</v>
      </c>
      <c r="D28" s="16" t="s">
        <v>1966</v>
      </c>
      <c r="E28" s="3"/>
      <c r="F28" s="3"/>
      <c r="G28" s="3"/>
      <c r="H28" s="3"/>
      <c r="I28" s="16" t="s">
        <v>1053</v>
      </c>
      <c r="J28" s="16" t="s">
        <v>1054</v>
      </c>
      <c r="K28" s="16" t="s">
        <v>1094</v>
      </c>
      <c r="L28" s="3"/>
    </row>
    <row r="29" spans="2:12">
      <c r="B29" s="8">
        <v>24</v>
      </c>
      <c r="C29" s="16" t="s">
        <v>865</v>
      </c>
      <c r="D29" s="16" t="s">
        <v>1967</v>
      </c>
      <c r="E29" s="3"/>
      <c r="F29" s="3"/>
      <c r="G29" s="3"/>
      <c r="H29" s="3"/>
      <c r="I29" s="16" t="s">
        <v>1053</v>
      </c>
      <c r="J29" s="16" t="s">
        <v>1054</v>
      </c>
      <c r="K29" s="16" t="s">
        <v>1094</v>
      </c>
      <c r="L29" s="3"/>
    </row>
    <row r="30" spans="2:12">
      <c r="B30" s="8">
        <v>25</v>
      </c>
      <c r="C30" s="16" t="s">
        <v>867</v>
      </c>
      <c r="D30" s="16" t="s">
        <v>1968</v>
      </c>
      <c r="E30" s="3"/>
      <c r="F30" s="3"/>
      <c r="G30" s="3"/>
      <c r="H30" s="3"/>
      <c r="I30" s="16" t="s">
        <v>1053</v>
      </c>
      <c r="J30" s="16" t="s">
        <v>1054</v>
      </c>
      <c r="K30" s="16" t="s">
        <v>1094</v>
      </c>
      <c r="L30" s="3"/>
    </row>
    <row r="31" spans="2:12">
      <c r="B31" s="8">
        <v>26</v>
      </c>
      <c r="C31" s="16" t="s">
        <v>869</v>
      </c>
      <c r="D31" s="16" t="s">
        <v>1969</v>
      </c>
      <c r="E31" s="3"/>
      <c r="F31" s="3"/>
      <c r="G31" s="3"/>
      <c r="H31" s="3"/>
      <c r="I31" s="16" t="s">
        <v>1053</v>
      </c>
      <c r="J31" s="16" t="s">
        <v>1054</v>
      </c>
      <c r="K31" s="16" t="s">
        <v>1094</v>
      </c>
      <c r="L31" s="3"/>
    </row>
    <row r="32" spans="2:12">
      <c r="B32" s="8">
        <v>27</v>
      </c>
      <c r="C32" s="16" t="s">
        <v>871</v>
      </c>
      <c r="D32" s="16" t="s">
        <v>1970</v>
      </c>
      <c r="E32" s="16"/>
      <c r="F32" s="16"/>
      <c r="G32" s="16"/>
      <c r="H32" s="16"/>
      <c r="I32" s="16" t="s">
        <v>1053</v>
      </c>
      <c r="J32" s="16" t="s">
        <v>1054</v>
      </c>
      <c r="K32" s="16" t="s">
        <v>1094</v>
      </c>
      <c r="L32" s="3"/>
    </row>
    <row r="33" spans="2:12">
      <c r="B33" s="8">
        <v>28</v>
      </c>
      <c r="C33" s="16" t="s">
        <v>873</v>
      </c>
      <c r="D33" s="16" t="s">
        <v>1971</v>
      </c>
      <c r="E33" s="16"/>
      <c r="F33" s="16"/>
      <c r="G33" s="16"/>
      <c r="H33" s="16"/>
      <c r="I33" s="16" t="s">
        <v>1053</v>
      </c>
      <c r="J33" s="16" t="s">
        <v>1054</v>
      </c>
      <c r="K33" s="16" t="s">
        <v>1094</v>
      </c>
      <c r="L33" s="3"/>
    </row>
    <row r="34" spans="2:12">
      <c r="B34" s="8">
        <v>29</v>
      </c>
      <c r="C34" s="16" t="s">
        <v>875</v>
      </c>
      <c r="D34" s="16" t="s">
        <v>1972</v>
      </c>
      <c r="E34" s="16"/>
      <c r="F34" s="16"/>
      <c r="G34" s="16"/>
      <c r="H34" s="16"/>
      <c r="I34" s="16" t="s">
        <v>1053</v>
      </c>
      <c r="J34" s="16" t="s">
        <v>1054</v>
      </c>
      <c r="K34" s="16" t="s">
        <v>1094</v>
      </c>
      <c r="L34" s="3"/>
    </row>
    <row r="35" spans="2:12">
      <c r="B35" s="8">
        <v>30</v>
      </c>
      <c r="C35" s="16" t="s">
        <v>877</v>
      </c>
      <c r="D35" s="16" t="s">
        <v>1973</v>
      </c>
      <c r="E35" s="16"/>
      <c r="F35" s="16"/>
      <c r="G35" s="16"/>
      <c r="H35" s="16"/>
      <c r="I35" s="16" t="s">
        <v>1053</v>
      </c>
      <c r="J35" s="16" t="s">
        <v>1054</v>
      </c>
      <c r="K35" s="16" t="s">
        <v>1094</v>
      </c>
      <c r="L35" s="3"/>
    </row>
    <row r="36" spans="2:12">
      <c r="B36" s="8">
        <v>31</v>
      </c>
      <c r="C36" s="16" t="s">
        <v>879</v>
      </c>
      <c r="D36" s="16" t="s">
        <v>1974</v>
      </c>
      <c r="E36" s="16"/>
      <c r="F36" s="16"/>
      <c r="G36" s="16"/>
      <c r="H36" s="16"/>
      <c r="I36" s="16" t="s">
        <v>1053</v>
      </c>
      <c r="J36" s="16" t="s">
        <v>1054</v>
      </c>
      <c r="K36" s="16" t="s">
        <v>1094</v>
      </c>
      <c r="L36" s="3"/>
    </row>
    <row r="37" spans="2:12">
      <c r="B37" s="8">
        <v>32</v>
      </c>
      <c r="C37" s="16" t="s">
        <v>881</v>
      </c>
      <c r="D37" s="16" t="s">
        <v>1975</v>
      </c>
      <c r="E37" s="16"/>
      <c r="F37" s="16"/>
      <c r="G37" s="16"/>
      <c r="H37" s="16"/>
      <c r="I37" s="16" t="s">
        <v>1053</v>
      </c>
      <c r="J37" s="16" t="s">
        <v>1054</v>
      </c>
      <c r="K37" s="16" t="s">
        <v>1094</v>
      </c>
      <c r="L37" s="3"/>
    </row>
    <row r="38" spans="2:12">
      <c r="B38" s="8">
        <v>33</v>
      </c>
      <c r="C38" s="16" t="s">
        <v>883</v>
      </c>
      <c r="D38" s="16" t="s">
        <v>1976</v>
      </c>
      <c r="E38" s="16"/>
      <c r="F38" s="16"/>
      <c r="G38" s="16"/>
      <c r="H38" s="16"/>
      <c r="I38" s="16" t="s">
        <v>1053</v>
      </c>
      <c r="J38" s="16" t="s">
        <v>1054</v>
      </c>
      <c r="K38" s="16" t="s">
        <v>1094</v>
      </c>
      <c r="L38" s="3"/>
    </row>
    <row r="39" spans="2:12">
      <c r="B39" s="8">
        <v>34</v>
      </c>
      <c r="C39" s="16" t="s">
        <v>885</v>
      </c>
      <c r="D39" s="16" t="s">
        <v>1977</v>
      </c>
      <c r="E39" s="16"/>
      <c r="F39" s="16"/>
      <c r="G39" s="16"/>
      <c r="H39" s="16"/>
      <c r="I39" s="16" t="s">
        <v>1053</v>
      </c>
      <c r="J39" s="16" t="s">
        <v>1054</v>
      </c>
      <c r="K39" s="16" t="s">
        <v>1094</v>
      </c>
      <c r="L39" s="3"/>
    </row>
    <row r="40" spans="2:12">
      <c r="B40" s="8">
        <v>35</v>
      </c>
      <c r="C40" s="16" t="s">
        <v>1978</v>
      </c>
      <c r="D40" s="16" t="s">
        <v>1979</v>
      </c>
      <c r="E40" s="16"/>
      <c r="F40" s="16"/>
      <c r="G40" s="16"/>
      <c r="H40" s="16"/>
      <c r="I40" s="16" t="s">
        <v>1053</v>
      </c>
      <c r="J40" s="16" t="s">
        <v>1054</v>
      </c>
      <c r="K40" s="16"/>
      <c r="L40" s="3"/>
    </row>
    <row r="41" spans="2:12">
      <c r="B41" s="8">
        <v>36</v>
      </c>
      <c r="C41" s="16" t="s">
        <v>1980</v>
      </c>
      <c r="D41" s="16" t="s">
        <v>1981</v>
      </c>
      <c r="E41" s="16"/>
      <c r="F41" s="16"/>
      <c r="G41" s="16"/>
      <c r="H41" s="16"/>
      <c r="I41" s="16" t="s">
        <v>1053</v>
      </c>
      <c r="J41" s="16" t="s">
        <v>1054</v>
      </c>
      <c r="K41" s="16"/>
      <c r="L41" s="3"/>
    </row>
    <row r="42" spans="2:12">
      <c r="B42" s="8">
        <v>37</v>
      </c>
      <c r="C42" s="16" t="s">
        <v>1982</v>
      </c>
      <c r="D42" s="16" t="s">
        <v>1983</v>
      </c>
      <c r="E42" s="16"/>
      <c r="F42" s="16"/>
      <c r="G42" s="16"/>
      <c r="H42" s="16"/>
      <c r="I42" s="16" t="s">
        <v>1053</v>
      </c>
      <c r="J42" s="16" t="s">
        <v>1054</v>
      </c>
      <c r="K42" s="16"/>
      <c r="L42" s="3"/>
    </row>
    <row r="43" spans="2:12">
      <c r="B43" s="8">
        <v>38</v>
      </c>
      <c r="C43" s="16" t="s">
        <v>1984</v>
      </c>
      <c r="D43" s="16" t="s">
        <v>1985</v>
      </c>
      <c r="E43" s="16"/>
      <c r="F43" s="16"/>
      <c r="G43" s="16"/>
      <c r="H43" s="16"/>
      <c r="I43" s="16" t="s">
        <v>1053</v>
      </c>
      <c r="J43" s="16" t="s">
        <v>1054</v>
      </c>
      <c r="K43" s="16"/>
      <c r="L43" s="3"/>
    </row>
    <row r="44" spans="2:12">
      <c r="B44" s="8">
        <v>39</v>
      </c>
      <c r="C44" s="16" t="s">
        <v>1986</v>
      </c>
      <c r="D44" s="16" t="s">
        <v>1987</v>
      </c>
      <c r="E44" s="16"/>
      <c r="F44" s="16"/>
      <c r="G44" s="16"/>
      <c r="H44" s="16"/>
      <c r="I44" s="16" t="s">
        <v>1053</v>
      </c>
      <c r="J44" s="16" t="s">
        <v>1054</v>
      </c>
      <c r="K44" s="16"/>
      <c r="L44" s="3"/>
    </row>
    <row r="45" spans="2:12">
      <c r="B45" s="8">
        <v>40</v>
      </c>
      <c r="C45" s="16" t="s">
        <v>1988</v>
      </c>
      <c r="D45" s="16" t="s">
        <v>1989</v>
      </c>
      <c r="E45" s="16"/>
      <c r="F45" s="16"/>
      <c r="G45" s="16"/>
      <c r="H45" s="16"/>
      <c r="I45" s="16" t="s">
        <v>1053</v>
      </c>
      <c r="J45" s="16" t="s">
        <v>1054</v>
      </c>
      <c r="K45" s="16"/>
      <c r="L45" s="3"/>
    </row>
    <row r="46" spans="2:12">
      <c r="B46" s="8">
        <v>41</v>
      </c>
      <c r="C46" s="16" t="s">
        <v>1990</v>
      </c>
      <c r="D46" s="16" t="s">
        <v>1991</v>
      </c>
      <c r="E46" s="16"/>
      <c r="F46" s="16"/>
      <c r="G46" s="16"/>
      <c r="H46" s="16"/>
      <c r="I46" s="16" t="s">
        <v>1053</v>
      </c>
      <c r="J46" s="16" t="s">
        <v>1054</v>
      </c>
      <c r="K46" s="16"/>
      <c r="L46" s="3"/>
    </row>
    <row r="47" spans="2:12">
      <c r="B47" s="8">
        <v>42</v>
      </c>
      <c r="C47" s="16" t="s">
        <v>1992</v>
      </c>
      <c r="D47" s="16" t="s">
        <v>1993</v>
      </c>
      <c r="E47" s="16"/>
      <c r="F47" s="16"/>
      <c r="G47" s="16"/>
      <c r="H47" s="16"/>
      <c r="I47" s="16" t="s">
        <v>1053</v>
      </c>
      <c r="J47" s="16" t="s">
        <v>1054</v>
      </c>
      <c r="K47" s="16"/>
      <c r="L47" s="3"/>
    </row>
    <row r="48" spans="2:12">
      <c r="B48" s="8">
        <v>43</v>
      </c>
      <c r="C48" s="16" t="s">
        <v>1994</v>
      </c>
      <c r="D48" s="16" t="s">
        <v>1995</v>
      </c>
      <c r="E48" s="16"/>
      <c r="F48" s="16"/>
      <c r="G48" s="16"/>
      <c r="H48" s="16"/>
      <c r="I48" s="16" t="s">
        <v>1053</v>
      </c>
      <c r="J48" s="16" t="s">
        <v>1054</v>
      </c>
      <c r="K48" s="16"/>
      <c r="L48" s="3"/>
    </row>
    <row r="49" spans="2:12">
      <c r="B49" s="8">
        <v>44</v>
      </c>
      <c r="C49" s="16" t="s">
        <v>1996</v>
      </c>
      <c r="D49" s="16" t="s">
        <v>1997</v>
      </c>
      <c r="E49" s="16"/>
      <c r="F49" s="16"/>
      <c r="G49" s="16"/>
      <c r="H49" s="16"/>
      <c r="I49" s="16" t="s">
        <v>1053</v>
      </c>
      <c r="J49" s="16" t="s">
        <v>1054</v>
      </c>
      <c r="K49" s="16"/>
      <c r="L49" s="3"/>
    </row>
    <row r="50" spans="2:12">
      <c r="B50" s="8">
        <v>45</v>
      </c>
      <c r="C50" s="16" t="s">
        <v>1998</v>
      </c>
      <c r="D50" s="16" t="s">
        <v>1999</v>
      </c>
      <c r="E50" s="16"/>
      <c r="F50" s="16"/>
      <c r="G50" s="16"/>
      <c r="H50" s="16"/>
      <c r="I50" s="16" t="s">
        <v>1053</v>
      </c>
      <c r="J50" s="16" t="s">
        <v>1054</v>
      </c>
      <c r="K50" s="16"/>
      <c r="L50" s="3"/>
    </row>
    <row r="51" spans="2:12">
      <c r="B51" s="8">
        <v>46</v>
      </c>
      <c r="C51" s="16" t="s">
        <v>2000</v>
      </c>
      <c r="D51" s="16" t="s">
        <v>2001</v>
      </c>
      <c r="E51" s="16"/>
      <c r="F51" s="16"/>
      <c r="G51" s="16"/>
      <c r="H51" s="16"/>
      <c r="I51" s="16" t="s">
        <v>1053</v>
      </c>
      <c r="J51" s="16" t="s">
        <v>1054</v>
      </c>
      <c r="K51" s="16"/>
      <c r="L51" s="3"/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35543CF0-8560-43E8-917B-ACC67BC17C31}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25911-3365-444E-8A5A-BC896CED69FC}">
  <sheetPr codeName="Sheet53">
    <tabColor rgb="FF0066FF"/>
  </sheetPr>
  <dimension ref="A1:M27"/>
  <sheetViews>
    <sheetView workbookViewId="0">
      <selection activeCell="D14" sqref="D14"/>
    </sheetView>
  </sheetViews>
  <sheetFormatPr defaultRowHeight="16.5"/>
  <cols>
    <col min="2" max="2" width="6.875" bestFit="1" customWidth="1"/>
    <col min="3" max="3" width="16.5" bestFit="1" customWidth="1"/>
    <col min="4" max="4" width="33.75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50.125" customWidth="1"/>
    <col min="12" max="12" width="34.625" customWidth="1"/>
  </cols>
  <sheetData>
    <row r="1" spans="1:13" ht="20.25">
      <c r="A1" s="4"/>
      <c r="B1" s="258" t="s">
        <v>1492</v>
      </c>
      <c r="D1" s="482" t="s">
        <v>2722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1441</v>
      </c>
      <c r="E3" s="495"/>
      <c r="F3" s="495"/>
      <c r="G3" s="496"/>
      <c r="H3" s="495" t="s">
        <v>1480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1210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27" t="s">
        <v>934</v>
      </c>
      <c r="L5" s="7" t="s">
        <v>935</v>
      </c>
    </row>
    <row r="6" spans="1:13">
      <c r="A6" s="4"/>
      <c r="B6" s="8">
        <v>1</v>
      </c>
      <c r="C6" s="20" t="s">
        <v>16</v>
      </c>
      <c r="D6" s="45" t="s">
        <v>961</v>
      </c>
      <c r="E6" s="39" t="s">
        <v>1065</v>
      </c>
      <c r="F6" s="20"/>
      <c r="G6" s="20"/>
      <c r="H6" s="20" t="s">
        <v>1065</v>
      </c>
      <c r="I6" s="20" t="s">
        <v>17</v>
      </c>
      <c r="J6" s="20"/>
      <c r="K6" s="28" t="s">
        <v>962</v>
      </c>
      <c r="L6" s="140"/>
    </row>
    <row r="7" spans="1:13">
      <c r="A7" s="4"/>
      <c r="B7" s="8">
        <v>2</v>
      </c>
      <c r="C7" s="20" t="s">
        <v>22</v>
      </c>
      <c r="D7" s="45" t="s">
        <v>23</v>
      </c>
      <c r="E7" s="39" t="s">
        <v>1065</v>
      </c>
      <c r="F7" s="20"/>
      <c r="G7" s="20"/>
      <c r="H7" s="20" t="s">
        <v>1065</v>
      </c>
      <c r="I7" s="20" t="s">
        <v>967</v>
      </c>
      <c r="J7" s="20"/>
      <c r="K7" s="29" t="s">
        <v>968</v>
      </c>
      <c r="L7" s="30"/>
    </row>
    <row r="8" spans="1:13">
      <c r="A8" s="4"/>
      <c r="B8" s="8">
        <v>3</v>
      </c>
      <c r="C8" s="20" t="s">
        <v>972</v>
      </c>
      <c r="D8" s="45" t="s">
        <v>1949</v>
      </c>
      <c r="E8" s="20"/>
      <c r="F8" s="20"/>
      <c r="G8" s="20"/>
      <c r="H8" s="20"/>
      <c r="I8" s="20" t="s">
        <v>974</v>
      </c>
      <c r="J8" s="20"/>
      <c r="K8" s="30" t="s">
        <v>975</v>
      </c>
      <c r="L8" s="30"/>
    </row>
    <row r="9" spans="1:13">
      <c r="A9" s="4"/>
      <c r="B9" s="8">
        <v>4</v>
      </c>
      <c r="C9" s="46" t="s">
        <v>35</v>
      </c>
      <c r="D9" s="20" t="s">
        <v>36</v>
      </c>
      <c r="E9" s="20"/>
      <c r="F9" s="20"/>
      <c r="G9" s="20"/>
      <c r="H9" s="20"/>
      <c r="I9" s="20" t="s">
        <v>947</v>
      </c>
      <c r="J9" s="20">
        <v>10</v>
      </c>
      <c r="K9" s="107" t="s">
        <v>978</v>
      </c>
      <c r="L9" s="159" t="s">
        <v>1798</v>
      </c>
      <c r="M9" t="s">
        <v>1640</v>
      </c>
    </row>
    <row r="10" spans="1:13">
      <c r="A10" s="4"/>
      <c r="B10" s="8">
        <v>5</v>
      </c>
      <c r="C10" s="8" t="s">
        <v>270</v>
      </c>
      <c r="D10" s="406" t="s">
        <v>293</v>
      </c>
      <c r="E10" s="8"/>
      <c r="F10" s="8"/>
      <c r="G10" s="8"/>
      <c r="H10" s="8" t="s">
        <v>1065</v>
      </c>
      <c r="I10" s="72" t="s">
        <v>947</v>
      </c>
      <c r="J10" s="146">
        <v>4</v>
      </c>
      <c r="K10" s="31" t="s">
        <v>2723</v>
      </c>
      <c r="L10" s="33">
        <v>2020</v>
      </c>
    </row>
    <row r="11" spans="1:13">
      <c r="A11" s="4"/>
      <c r="B11" s="8">
        <v>6</v>
      </c>
      <c r="C11" s="8" t="s">
        <v>274</v>
      </c>
      <c r="D11" s="408" t="s">
        <v>301</v>
      </c>
      <c r="E11" s="8"/>
      <c r="F11" s="8"/>
      <c r="G11" s="8"/>
      <c r="H11" s="8" t="s">
        <v>1065</v>
      </c>
      <c r="I11" s="72" t="s">
        <v>947</v>
      </c>
      <c r="J11" s="147">
        <v>2</v>
      </c>
      <c r="K11" s="31" t="s">
        <v>2724</v>
      </c>
      <c r="L11" s="33">
        <v>10</v>
      </c>
    </row>
    <row r="12" spans="1:13">
      <c r="A12" s="4"/>
      <c r="B12" s="8">
        <v>7</v>
      </c>
      <c r="C12" s="8" t="s">
        <v>122</v>
      </c>
      <c r="D12" s="408" t="s">
        <v>123</v>
      </c>
      <c r="E12" s="8"/>
      <c r="F12" s="8"/>
      <c r="G12" s="8"/>
      <c r="H12" s="8" t="s">
        <v>1065</v>
      </c>
      <c r="I12" s="8" t="s">
        <v>947</v>
      </c>
      <c r="J12" s="8">
        <v>10</v>
      </c>
      <c r="K12" s="33" t="s">
        <v>2725</v>
      </c>
      <c r="L12" s="33">
        <v>10955</v>
      </c>
    </row>
    <row r="13" spans="1:13">
      <c r="A13" s="4"/>
      <c r="B13" s="8">
        <v>8</v>
      </c>
      <c r="C13" s="47" t="s">
        <v>4</v>
      </c>
      <c r="D13" s="48" t="s">
        <v>19</v>
      </c>
      <c r="E13" s="8"/>
      <c r="F13" s="8"/>
      <c r="G13" s="8"/>
      <c r="H13" s="8" t="s">
        <v>1065</v>
      </c>
      <c r="I13" s="8" t="s">
        <v>947</v>
      </c>
      <c r="J13" s="8">
        <v>10</v>
      </c>
      <c r="K13" s="31" t="s">
        <v>2726</v>
      </c>
      <c r="L13" s="8">
        <v>706101</v>
      </c>
    </row>
    <row r="14" spans="1:13">
      <c r="A14" s="4"/>
      <c r="B14" s="8">
        <v>9</v>
      </c>
      <c r="C14" s="47" t="s">
        <v>20</v>
      </c>
      <c r="D14" s="48" t="s">
        <v>2600</v>
      </c>
      <c r="E14" s="8"/>
      <c r="F14" s="8"/>
      <c r="G14" s="8"/>
      <c r="H14" s="8" t="s">
        <v>1065</v>
      </c>
      <c r="I14" s="8" t="s">
        <v>947</v>
      </c>
      <c r="J14" s="8">
        <v>24</v>
      </c>
      <c r="K14" s="31" t="s">
        <v>2727</v>
      </c>
      <c r="L14" s="32" t="s">
        <v>2664</v>
      </c>
    </row>
    <row r="15" spans="1:13">
      <c r="A15" s="4"/>
      <c r="B15" s="8">
        <v>10</v>
      </c>
      <c r="C15" s="47" t="s">
        <v>2691</v>
      </c>
      <c r="D15" s="8" t="s">
        <v>329</v>
      </c>
      <c r="E15" s="8"/>
      <c r="F15" s="8"/>
      <c r="G15" s="8"/>
      <c r="H15" s="8"/>
      <c r="I15" s="8" t="s">
        <v>1053</v>
      </c>
      <c r="J15" s="8" t="s">
        <v>1054</v>
      </c>
      <c r="K15" s="31"/>
      <c r="L15" s="32"/>
    </row>
    <row r="16" spans="1:13">
      <c r="A16" s="4"/>
      <c r="B16" s="8">
        <v>11</v>
      </c>
      <c r="C16" s="47" t="s">
        <v>2692</v>
      </c>
      <c r="D16" s="8" t="s">
        <v>337</v>
      </c>
      <c r="E16" s="8"/>
      <c r="F16" s="8"/>
      <c r="G16" s="8"/>
      <c r="H16" s="8"/>
      <c r="I16" s="8" t="s">
        <v>1053</v>
      </c>
      <c r="J16" s="8" t="s">
        <v>1054</v>
      </c>
      <c r="K16" s="31"/>
      <c r="L16" s="32"/>
    </row>
    <row r="17" spans="1:13">
      <c r="A17" s="4"/>
      <c r="B17" s="8">
        <v>12</v>
      </c>
      <c r="C17" s="47" t="s">
        <v>2693</v>
      </c>
      <c r="D17" s="8" t="s">
        <v>344</v>
      </c>
      <c r="E17" s="8"/>
      <c r="F17" s="8"/>
      <c r="G17" s="8"/>
      <c r="H17" s="8"/>
      <c r="I17" s="8" t="s">
        <v>1053</v>
      </c>
      <c r="J17" s="8" t="s">
        <v>1054</v>
      </c>
      <c r="K17" s="31"/>
      <c r="L17" s="32"/>
    </row>
    <row r="18" spans="1:13">
      <c r="A18" s="4"/>
      <c r="B18" s="8">
        <v>13</v>
      </c>
      <c r="C18" s="47" t="s">
        <v>2694</v>
      </c>
      <c r="D18" s="8" t="s">
        <v>352</v>
      </c>
      <c r="E18" s="8"/>
      <c r="F18" s="8"/>
      <c r="G18" s="8"/>
      <c r="H18" s="8"/>
      <c r="I18" s="8" t="s">
        <v>1053</v>
      </c>
      <c r="J18" s="8" t="s">
        <v>1054</v>
      </c>
      <c r="K18" s="31"/>
      <c r="L18" s="32"/>
    </row>
    <row r="19" spans="1:13">
      <c r="A19" s="4"/>
      <c r="B19" s="8">
        <v>14</v>
      </c>
      <c r="C19" s="47" t="s">
        <v>2695</v>
      </c>
      <c r="D19" s="8" t="s">
        <v>360</v>
      </c>
      <c r="E19" s="8"/>
      <c r="F19" s="8"/>
      <c r="G19" s="8"/>
      <c r="H19" s="8"/>
      <c r="I19" s="8" t="s">
        <v>1053</v>
      </c>
      <c r="J19" s="8" t="s">
        <v>1054</v>
      </c>
      <c r="K19" s="31"/>
      <c r="L19" s="32"/>
    </row>
    <row r="20" spans="1:13">
      <c r="A20" s="4"/>
      <c r="B20" s="8">
        <v>15</v>
      </c>
      <c r="C20" s="47" t="s">
        <v>2696</v>
      </c>
      <c r="D20" s="8" t="s">
        <v>368</v>
      </c>
      <c r="E20" s="8"/>
      <c r="F20" s="8"/>
      <c r="G20" s="8"/>
      <c r="H20" s="8"/>
      <c r="I20" s="8" t="s">
        <v>1053</v>
      </c>
      <c r="J20" s="8" t="s">
        <v>1054</v>
      </c>
      <c r="K20" s="33"/>
      <c r="L20" s="32"/>
    </row>
    <row r="21" spans="1:13">
      <c r="A21" s="4"/>
      <c r="B21" s="8">
        <v>16</v>
      </c>
      <c r="C21" s="47" t="s">
        <v>2697</v>
      </c>
      <c r="D21" s="8" t="s">
        <v>376</v>
      </c>
      <c r="E21" s="8"/>
      <c r="F21" s="8"/>
      <c r="G21" s="8"/>
      <c r="H21" s="8"/>
      <c r="I21" s="8" t="s">
        <v>1053</v>
      </c>
      <c r="J21" s="8" t="s">
        <v>1054</v>
      </c>
      <c r="K21" s="33"/>
      <c r="L21" s="32"/>
    </row>
    <row r="22" spans="1:13">
      <c r="A22" s="4"/>
      <c r="B22" s="8">
        <v>17</v>
      </c>
      <c r="C22" s="47" t="s">
        <v>2698</v>
      </c>
      <c r="D22" s="8" t="s">
        <v>384</v>
      </c>
      <c r="E22" s="8"/>
      <c r="F22" s="8"/>
      <c r="G22" s="8"/>
      <c r="H22" s="8"/>
      <c r="I22" s="8" t="s">
        <v>1053</v>
      </c>
      <c r="J22" s="8" t="s">
        <v>1054</v>
      </c>
      <c r="K22" s="33"/>
      <c r="L22" s="32"/>
    </row>
    <row r="23" spans="1:13">
      <c r="A23" s="4"/>
      <c r="B23" s="8">
        <v>18</v>
      </c>
      <c r="C23" s="47" t="s">
        <v>2699</v>
      </c>
      <c r="D23" s="8" t="s">
        <v>392</v>
      </c>
      <c r="E23" s="8"/>
      <c r="F23" s="8"/>
      <c r="G23" s="8"/>
      <c r="H23" s="8"/>
      <c r="I23" s="8" t="s">
        <v>1053</v>
      </c>
      <c r="J23" s="8" t="s">
        <v>1054</v>
      </c>
      <c r="K23" s="33"/>
      <c r="L23" s="32"/>
    </row>
    <row r="24" spans="1:13">
      <c r="A24" s="4"/>
      <c r="B24" s="8">
        <v>19</v>
      </c>
      <c r="C24" s="47" t="s">
        <v>2700</v>
      </c>
      <c r="D24" s="8" t="s">
        <v>400</v>
      </c>
      <c r="E24" s="8"/>
      <c r="F24" s="8"/>
      <c r="G24" s="8"/>
      <c r="H24" s="8"/>
      <c r="I24" s="8" t="s">
        <v>1053</v>
      </c>
      <c r="J24" s="8" t="s">
        <v>1054</v>
      </c>
      <c r="K24" s="33"/>
      <c r="L24" s="32"/>
    </row>
    <row r="25" spans="1:13">
      <c r="A25" s="4"/>
      <c r="B25" s="8">
        <v>20</v>
      </c>
      <c r="C25" s="47" t="s">
        <v>2701</v>
      </c>
      <c r="D25" s="8" t="s">
        <v>408</v>
      </c>
      <c r="E25" s="8"/>
      <c r="F25" s="8"/>
      <c r="G25" s="8"/>
      <c r="H25" s="8"/>
      <c r="I25" s="8" t="s">
        <v>1053</v>
      </c>
      <c r="J25" s="8" t="s">
        <v>1054</v>
      </c>
      <c r="K25" s="33"/>
      <c r="L25" s="32"/>
    </row>
    <row r="26" spans="1:13">
      <c r="B26" s="8">
        <v>21</v>
      </c>
      <c r="C26" s="47" t="s">
        <v>2702</v>
      </c>
      <c r="D26" s="8" t="s">
        <v>414</v>
      </c>
      <c r="E26" s="16"/>
      <c r="F26" s="16"/>
      <c r="G26" s="16"/>
      <c r="H26" s="16"/>
      <c r="I26" s="8" t="s">
        <v>1053</v>
      </c>
      <c r="J26" s="8" t="s">
        <v>1054</v>
      </c>
      <c r="K26" s="16"/>
      <c r="L26" s="16"/>
    </row>
    <row r="27" spans="1:13" s="145" customFormat="1" ht="33">
      <c r="B27" s="157">
        <v>22</v>
      </c>
      <c r="C27" s="157" t="s">
        <v>2703</v>
      </c>
      <c r="D27" s="157" t="s">
        <v>2704</v>
      </c>
      <c r="E27" s="250"/>
      <c r="F27" s="250"/>
      <c r="G27" s="250"/>
      <c r="H27" s="250"/>
      <c r="I27" s="157" t="s">
        <v>1516</v>
      </c>
      <c r="J27" s="157">
        <v>1</v>
      </c>
      <c r="K27" s="251" t="s">
        <v>2705</v>
      </c>
      <c r="L27" s="157" t="s">
        <v>2603</v>
      </c>
      <c r="M27" s="252" t="s">
        <v>2604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AED8FAFF-1EEA-47E4-BB07-48425DDB11FB}"/>
  </hyperlink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E8218-5378-4A3D-85A0-41851E59EE3F}">
  <sheetPr codeName="Sheet54">
    <tabColor rgb="FF0066FF"/>
  </sheetPr>
  <dimension ref="A1:L28"/>
  <sheetViews>
    <sheetView topLeftCell="A5" workbookViewId="0">
      <selection activeCell="A24" sqref="A24"/>
    </sheetView>
  </sheetViews>
  <sheetFormatPr defaultRowHeight="16.5"/>
  <cols>
    <col min="2" max="2" width="6.875" bestFit="1" customWidth="1"/>
    <col min="3" max="3" width="16.5" bestFit="1" customWidth="1"/>
    <col min="4" max="4" width="33.75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52.875" bestFit="1" customWidth="1"/>
    <col min="12" max="12" width="34.625" customWidth="1"/>
  </cols>
  <sheetData>
    <row r="1" spans="1:12" ht="20.25">
      <c r="A1" s="4"/>
      <c r="B1" s="5" t="s">
        <v>1492</v>
      </c>
      <c r="D1" s="482" t="s">
        <v>2728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1444</v>
      </c>
      <c r="E3" s="495"/>
      <c r="F3" s="495"/>
      <c r="G3" s="496"/>
      <c r="H3" s="495" t="s">
        <v>2729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1210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2">
      <c r="A6" t="s">
        <v>1650</v>
      </c>
      <c r="B6" s="21">
        <v>1</v>
      </c>
      <c r="C6" s="256" t="s">
        <v>1515</v>
      </c>
      <c r="D6" s="257" t="s">
        <v>1546</v>
      </c>
      <c r="E6" s="256" t="s">
        <v>1065</v>
      </c>
      <c r="F6" s="256"/>
      <c r="G6" s="256"/>
      <c r="H6" s="256" t="s">
        <v>1065</v>
      </c>
      <c r="I6" s="256" t="s">
        <v>947</v>
      </c>
      <c r="J6" s="256">
        <v>20</v>
      </c>
      <c r="K6" s="139"/>
      <c r="L6" s="138"/>
    </row>
    <row r="7" spans="1:12" s="145" customFormat="1">
      <c r="A7" s="1"/>
      <c r="B7" s="253">
        <v>2</v>
      </c>
      <c r="C7" s="260" t="s">
        <v>270</v>
      </c>
      <c r="D7" s="406" t="s">
        <v>2003</v>
      </c>
      <c r="E7" s="157" t="s">
        <v>1065</v>
      </c>
      <c r="F7" s="157"/>
      <c r="G7" s="157"/>
      <c r="H7" s="157" t="s">
        <v>1065</v>
      </c>
      <c r="I7" s="246" t="s">
        <v>947</v>
      </c>
      <c r="J7" s="247">
        <v>4</v>
      </c>
      <c r="K7" s="248"/>
      <c r="L7" s="79">
        <v>2020</v>
      </c>
    </row>
    <row r="8" spans="1:12" s="145" customFormat="1">
      <c r="A8" s="1"/>
      <c r="B8" s="253">
        <v>3</v>
      </c>
      <c r="C8" s="260" t="s">
        <v>274</v>
      </c>
      <c r="D8" s="408" t="s">
        <v>1913</v>
      </c>
      <c r="E8" s="157" t="s">
        <v>1065</v>
      </c>
      <c r="F8" s="157"/>
      <c r="G8" s="157"/>
      <c r="H8" s="157" t="s">
        <v>1065</v>
      </c>
      <c r="I8" s="246" t="s">
        <v>947</v>
      </c>
      <c r="J8" s="249">
        <v>2</v>
      </c>
      <c r="K8" s="248" t="s">
        <v>2658</v>
      </c>
      <c r="L8" s="79">
        <v>10</v>
      </c>
    </row>
    <row r="9" spans="1:12">
      <c r="A9" s="4"/>
      <c r="B9" s="21">
        <v>4</v>
      </c>
      <c r="C9" s="261" t="s">
        <v>122</v>
      </c>
      <c r="D9" s="408" t="s">
        <v>1691</v>
      </c>
      <c r="E9" s="8" t="s">
        <v>1065</v>
      </c>
      <c r="F9" s="302" t="s">
        <v>1065</v>
      </c>
      <c r="G9" s="302" t="s">
        <v>1886</v>
      </c>
      <c r="H9" s="8" t="s">
        <v>1065</v>
      </c>
      <c r="I9" s="8" t="s">
        <v>947</v>
      </c>
      <c r="J9" s="8">
        <v>10</v>
      </c>
      <c r="K9" s="33"/>
      <c r="L9" s="33">
        <v>10955</v>
      </c>
    </row>
    <row r="10" spans="1:12">
      <c r="A10" s="4"/>
      <c r="B10" s="253">
        <v>5</v>
      </c>
      <c r="C10" s="58" t="s">
        <v>18</v>
      </c>
      <c r="D10" s="48" t="s">
        <v>19</v>
      </c>
      <c r="E10" s="8" t="s">
        <v>1065</v>
      </c>
      <c r="F10" s="302" t="s">
        <v>1065</v>
      </c>
      <c r="G10" s="302" t="s">
        <v>2659</v>
      </c>
      <c r="H10" s="8" t="s">
        <v>1065</v>
      </c>
      <c r="I10" s="8" t="s">
        <v>947</v>
      </c>
      <c r="J10" s="8">
        <v>10</v>
      </c>
      <c r="K10" s="31"/>
      <c r="L10" s="33">
        <v>706101</v>
      </c>
    </row>
    <row r="11" spans="1:12">
      <c r="A11" s="4"/>
      <c r="B11" s="253">
        <v>6</v>
      </c>
      <c r="C11" s="58" t="s">
        <v>6</v>
      </c>
      <c r="D11" s="48" t="s">
        <v>21</v>
      </c>
      <c r="E11" s="8"/>
      <c r="F11" s="302" t="s">
        <v>1065</v>
      </c>
      <c r="G11" s="302" t="s">
        <v>2660</v>
      </c>
      <c r="H11" s="8" t="s">
        <v>1065</v>
      </c>
      <c r="I11" s="8" t="s">
        <v>947</v>
      </c>
      <c r="J11" s="8">
        <v>24</v>
      </c>
      <c r="K11" s="31"/>
      <c r="L11" s="136" t="s">
        <v>2664</v>
      </c>
    </row>
    <row r="12" spans="1:12">
      <c r="A12" s="4"/>
      <c r="B12" s="21">
        <v>7</v>
      </c>
      <c r="C12" s="58" t="s">
        <v>2691</v>
      </c>
      <c r="D12" s="8" t="s">
        <v>329</v>
      </c>
      <c r="E12" s="8"/>
      <c r="F12" s="8"/>
      <c r="G12" s="8"/>
      <c r="H12" s="8"/>
      <c r="I12" s="8" t="s">
        <v>1053</v>
      </c>
      <c r="J12" s="8" t="s">
        <v>1054</v>
      </c>
      <c r="K12" s="31"/>
      <c r="L12" s="136"/>
    </row>
    <row r="13" spans="1:12">
      <c r="A13" s="4"/>
      <c r="B13" s="253">
        <v>8</v>
      </c>
      <c r="C13" s="58" t="s">
        <v>2692</v>
      </c>
      <c r="D13" s="8" t="s">
        <v>337</v>
      </c>
      <c r="E13" s="8"/>
      <c r="F13" s="8"/>
      <c r="G13" s="8"/>
      <c r="H13" s="8"/>
      <c r="I13" s="8" t="s">
        <v>1053</v>
      </c>
      <c r="J13" s="8" t="s">
        <v>1054</v>
      </c>
      <c r="K13" s="31"/>
      <c r="L13" s="136"/>
    </row>
    <row r="14" spans="1:12">
      <c r="A14" s="4"/>
      <c r="B14" s="253">
        <v>9</v>
      </c>
      <c r="C14" s="58" t="s">
        <v>2693</v>
      </c>
      <c r="D14" s="8" t="s">
        <v>344</v>
      </c>
      <c r="E14" s="8"/>
      <c r="F14" s="8"/>
      <c r="G14" s="8"/>
      <c r="H14" s="8"/>
      <c r="I14" s="8" t="s">
        <v>1053</v>
      </c>
      <c r="J14" s="8" t="s">
        <v>1054</v>
      </c>
      <c r="K14" s="31"/>
      <c r="L14" s="32"/>
    </row>
    <row r="15" spans="1:12">
      <c r="A15" s="4"/>
      <c r="B15" s="21">
        <v>10</v>
      </c>
      <c r="C15" s="58" t="s">
        <v>2694</v>
      </c>
      <c r="D15" s="8" t="s">
        <v>352</v>
      </c>
      <c r="E15" s="8"/>
      <c r="F15" s="8"/>
      <c r="G15" s="8"/>
      <c r="H15" s="8"/>
      <c r="I15" s="8" t="s">
        <v>1053</v>
      </c>
      <c r="J15" s="8" t="s">
        <v>1054</v>
      </c>
      <c r="K15" s="31"/>
      <c r="L15" s="32"/>
    </row>
    <row r="16" spans="1:12">
      <c r="A16" s="4"/>
      <c r="B16" s="253">
        <v>11</v>
      </c>
      <c r="C16" s="58" t="s">
        <v>2695</v>
      </c>
      <c r="D16" s="8" t="s">
        <v>360</v>
      </c>
      <c r="E16" s="8"/>
      <c r="F16" s="8"/>
      <c r="G16" s="8"/>
      <c r="H16" s="8"/>
      <c r="I16" s="8" t="s">
        <v>1053</v>
      </c>
      <c r="J16" s="8" t="s">
        <v>1054</v>
      </c>
      <c r="K16" s="31"/>
      <c r="L16" s="32"/>
    </row>
    <row r="17" spans="1:12">
      <c r="A17" s="4"/>
      <c r="B17" s="253">
        <v>12</v>
      </c>
      <c r="C17" s="58" t="s">
        <v>2696</v>
      </c>
      <c r="D17" s="8" t="s">
        <v>368</v>
      </c>
      <c r="E17" s="8"/>
      <c r="F17" s="8"/>
      <c r="G17" s="8"/>
      <c r="H17" s="8"/>
      <c r="I17" s="8" t="s">
        <v>1053</v>
      </c>
      <c r="J17" s="8" t="s">
        <v>1054</v>
      </c>
      <c r="K17" s="33"/>
      <c r="L17" s="32"/>
    </row>
    <row r="18" spans="1:12">
      <c r="A18" s="4"/>
      <c r="B18" s="21">
        <v>13</v>
      </c>
      <c r="C18" s="58" t="s">
        <v>2697</v>
      </c>
      <c r="D18" s="8" t="s">
        <v>376</v>
      </c>
      <c r="E18" s="8"/>
      <c r="F18" s="8"/>
      <c r="G18" s="8"/>
      <c r="H18" s="8"/>
      <c r="I18" s="8" t="s">
        <v>1053</v>
      </c>
      <c r="J18" s="8" t="s">
        <v>1054</v>
      </c>
      <c r="K18" s="33"/>
      <c r="L18" s="32"/>
    </row>
    <row r="19" spans="1:12">
      <c r="A19" s="4"/>
      <c r="B19" s="253">
        <v>14</v>
      </c>
      <c r="C19" s="58" t="s">
        <v>2698</v>
      </c>
      <c r="D19" s="8" t="s">
        <v>384</v>
      </c>
      <c r="E19" s="8"/>
      <c r="F19" s="8"/>
      <c r="G19" s="8"/>
      <c r="H19" s="8"/>
      <c r="I19" s="8" t="s">
        <v>1053</v>
      </c>
      <c r="J19" s="8" t="s">
        <v>1054</v>
      </c>
      <c r="K19" s="33"/>
      <c r="L19" s="32"/>
    </row>
    <row r="20" spans="1:12">
      <c r="A20" s="4"/>
      <c r="B20" s="253">
        <v>15</v>
      </c>
      <c r="C20" s="58" t="s">
        <v>2699</v>
      </c>
      <c r="D20" s="8" t="s">
        <v>392</v>
      </c>
      <c r="E20" s="8"/>
      <c r="F20" s="8"/>
      <c r="G20" s="8"/>
      <c r="H20" s="8"/>
      <c r="I20" s="8" t="s">
        <v>1053</v>
      </c>
      <c r="J20" s="8" t="s">
        <v>1054</v>
      </c>
      <c r="K20" s="33"/>
      <c r="L20" s="32"/>
    </row>
    <row r="21" spans="1:12">
      <c r="A21" s="4"/>
      <c r="B21" s="21">
        <v>16</v>
      </c>
      <c r="C21" s="58" t="s">
        <v>2700</v>
      </c>
      <c r="D21" s="8" t="s">
        <v>400</v>
      </c>
      <c r="E21" s="8"/>
      <c r="F21" s="8"/>
      <c r="G21" s="8"/>
      <c r="H21" s="8"/>
      <c r="I21" s="8" t="s">
        <v>1053</v>
      </c>
      <c r="J21" s="8" t="s">
        <v>1054</v>
      </c>
      <c r="K21" s="33"/>
      <c r="L21" s="32"/>
    </row>
    <row r="22" spans="1:12">
      <c r="A22" s="4"/>
      <c r="B22" s="253">
        <v>17</v>
      </c>
      <c r="C22" s="58" t="s">
        <v>2701</v>
      </c>
      <c r="D22" s="8" t="s">
        <v>408</v>
      </c>
      <c r="E22" s="8"/>
      <c r="F22" s="8"/>
      <c r="G22" s="8"/>
      <c r="H22" s="8"/>
      <c r="I22" s="8" t="s">
        <v>1053</v>
      </c>
      <c r="J22" s="8" t="s">
        <v>1054</v>
      </c>
      <c r="K22" s="33"/>
      <c r="L22" s="32"/>
    </row>
    <row r="23" spans="1:12">
      <c r="B23" s="253">
        <v>18</v>
      </c>
      <c r="C23" s="58" t="s">
        <v>2702</v>
      </c>
      <c r="D23" s="8" t="s">
        <v>414</v>
      </c>
      <c r="E23" s="16"/>
      <c r="F23" s="16"/>
      <c r="G23" s="16"/>
      <c r="H23" s="16"/>
      <c r="I23" s="8" t="s">
        <v>1053</v>
      </c>
      <c r="J23" s="8" t="s">
        <v>1054</v>
      </c>
      <c r="K23" s="16"/>
      <c r="L23" s="16"/>
    </row>
    <row r="24" spans="1:12" s="145" customFormat="1" ht="33">
      <c r="B24" s="21">
        <v>19</v>
      </c>
      <c r="C24" s="260" t="s">
        <v>2703</v>
      </c>
      <c r="D24" s="157" t="s">
        <v>2708</v>
      </c>
      <c r="E24" s="250"/>
      <c r="F24" s="250"/>
      <c r="G24" s="250"/>
      <c r="H24" s="250"/>
      <c r="I24" s="157" t="s">
        <v>1019</v>
      </c>
      <c r="J24" s="250"/>
      <c r="K24" s="158" t="s">
        <v>2709</v>
      </c>
      <c r="L24" s="250" t="b">
        <v>1</v>
      </c>
    </row>
    <row r="25" spans="1:12">
      <c r="B25" s="253">
        <v>20</v>
      </c>
      <c r="C25" s="59" t="s">
        <v>27</v>
      </c>
      <c r="D25" s="20" t="s">
        <v>28</v>
      </c>
      <c r="E25" s="20" t="s">
        <v>1072</v>
      </c>
      <c r="F25" s="20" t="s">
        <v>1072</v>
      </c>
      <c r="G25" s="20" t="s">
        <v>1072</v>
      </c>
      <c r="H25" s="20" t="s">
        <v>1072</v>
      </c>
      <c r="I25" s="20" t="s">
        <v>951</v>
      </c>
      <c r="J25" s="20"/>
      <c r="K25" s="30" t="s">
        <v>1511</v>
      </c>
      <c r="L25" s="44" t="s">
        <v>1072</v>
      </c>
    </row>
    <row r="26" spans="1:12">
      <c r="B26" s="253">
        <v>21</v>
      </c>
      <c r="C26" s="59" t="s">
        <v>33</v>
      </c>
      <c r="D26" s="20" t="s">
        <v>34</v>
      </c>
      <c r="E26" s="20" t="s">
        <v>1072</v>
      </c>
      <c r="F26" s="20" t="s">
        <v>1072</v>
      </c>
      <c r="G26" s="20" t="s">
        <v>1072</v>
      </c>
      <c r="H26" s="20" t="s">
        <v>1072</v>
      </c>
      <c r="I26" s="20" t="s">
        <v>947</v>
      </c>
      <c r="J26" s="20"/>
      <c r="K26" s="30" t="s">
        <v>1511</v>
      </c>
      <c r="L26" s="44" t="s">
        <v>1072</v>
      </c>
    </row>
    <row r="27" spans="1:12">
      <c r="B27" s="21">
        <v>22</v>
      </c>
      <c r="C27" s="59" t="s">
        <v>37</v>
      </c>
      <c r="D27" s="20" t="s">
        <v>38</v>
      </c>
      <c r="E27" s="20" t="s">
        <v>1072</v>
      </c>
      <c r="F27" s="20" t="s">
        <v>1072</v>
      </c>
      <c r="G27" s="20" t="s">
        <v>1072</v>
      </c>
      <c r="H27" s="20" t="s">
        <v>1072</v>
      </c>
      <c r="I27" s="20" t="s">
        <v>951</v>
      </c>
      <c r="J27" s="20"/>
      <c r="K27" s="30" t="s">
        <v>1511</v>
      </c>
      <c r="L27" s="44" t="s">
        <v>1072</v>
      </c>
    </row>
    <row r="28" spans="1:12">
      <c r="B28" s="253">
        <v>23</v>
      </c>
      <c r="C28" s="59" t="s">
        <v>43</v>
      </c>
      <c r="D28" s="20" t="s">
        <v>44</v>
      </c>
      <c r="E28" s="20" t="s">
        <v>1072</v>
      </c>
      <c r="F28" s="20" t="s">
        <v>1072</v>
      </c>
      <c r="G28" s="20" t="s">
        <v>1072</v>
      </c>
      <c r="H28" s="20" t="s">
        <v>1072</v>
      </c>
      <c r="I28" s="20" t="s">
        <v>947</v>
      </c>
      <c r="J28" s="20"/>
      <c r="K28" s="30" t="s">
        <v>1511</v>
      </c>
      <c r="L28" s="44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A5C8B39C-42E5-4182-853A-95786B93983F}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41D40-8DA2-47A7-965F-37C9FFCD6CA1}">
  <sheetPr>
    <tabColor rgb="FF0066FF"/>
  </sheetPr>
  <dimension ref="A1:M26"/>
  <sheetViews>
    <sheetView workbookViewId="0">
      <selection activeCell="C23" sqref="C23"/>
    </sheetView>
  </sheetViews>
  <sheetFormatPr defaultRowHeight="16.5"/>
  <cols>
    <col min="2" max="2" width="6.875" bestFit="1" customWidth="1"/>
    <col min="3" max="3" width="16.5" bestFit="1" customWidth="1"/>
    <col min="4" max="4" width="33.75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50.125" customWidth="1"/>
    <col min="12" max="12" width="34.625" customWidth="1"/>
  </cols>
  <sheetData>
    <row r="1" spans="1:13" ht="20.25">
      <c r="A1" s="4"/>
      <c r="B1" s="258" t="s">
        <v>1492</v>
      </c>
      <c r="D1" s="482" t="s">
        <v>2730</v>
      </c>
      <c r="E1" s="482"/>
      <c r="F1" s="482"/>
      <c r="G1" s="482"/>
      <c r="H1" s="482"/>
      <c r="I1" s="482"/>
      <c r="J1" s="482"/>
      <c r="K1" s="482"/>
      <c r="L1" s="482"/>
    </row>
    <row r="2" spans="1:13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3">
      <c r="A3" s="4"/>
      <c r="B3" s="483" t="s">
        <v>1493</v>
      </c>
      <c r="C3" s="494"/>
      <c r="D3" s="494" t="s">
        <v>1484</v>
      </c>
      <c r="E3" s="495"/>
      <c r="F3" s="495"/>
      <c r="G3" s="496"/>
      <c r="H3" s="495" t="s">
        <v>1485</v>
      </c>
      <c r="I3" s="495"/>
      <c r="J3" s="496"/>
      <c r="K3" s="11"/>
      <c r="L3" s="11"/>
    </row>
    <row r="4" spans="1:13">
      <c r="A4" s="4"/>
      <c r="B4" s="483" t="s">
        <v>1231</v>
      </c>
      <c r="C4" s="494"/>
      <c r="D4" s="498" t="s">
        <v>1210</v>
      </c>
      <c r="E4" s="498"/>
      <c r="F4" s="498"/>
      <c r="G4" s="498"/>
      <c r="H4" s="498"/>
      <c r="I4" s="498"/>
      <c r="J4" s="498"/>
      <c r="K4" s="11"/>
      <c r="L4" s="11"/>
    </row>
    <row r="5" spans="1:13">
      <c r="A5" s="4"/>
      <c r="B5" s="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27" t="s">
        <v>934</v>
      </c>
      <c r="L5" s="7" t="s">
        <v>935</v>
      </c>
    </row>
    <row r="6" spans="1:13">
      <c r="A6" s="4"/>
      <c r="B6" s="8">
        <v>1</v>
      </c>
      <c r="C6" s="20" t="s">
        <v>16</v>
      </c>
      <c r="D6" s="45" t="s">
        <v>961</v>
      </c>
      <c r="E6" s="39" t="s">
        <v>1065</v>
      </c>
      <c r="F6" s="20"/>
      <c r="G6" s="20"/>
      <c r="H6" s="20" t="s">
        <v>1065</v>
      </c>
      <c r="I6" s="20" t="s">
        <v>17</v>
      </c>
      <c r="J6" s="20"/>
      <c r="K6" s="28" t="s">
        <v>962</v>
      </c>
      <c r="L6" s="140"/>
    </row>
    <row r="7" spans="1:13">
      <c r="A7" s="4"/>
      <c r="B7" s="8">
        <v>2</v>
      </c>
      <c r="C7" s="20" t="s">
        <v>22</v>
      </c>
      <c r="D7" s="45" t="s">
        <v>23</v>
      </c>
      <c r="E7" s="39" t="s">
        <v>1065</v>
      </c>
      <c r="F7" s="20"/>
      <c r="G7" s="20"/>
      <c r="H7" s="20" t="s">
        <v>1065</v>
      </c>
      <c r="I7" s="20" t="s">
        <v>967</v>
      </c>
      <c r="J7" s="20"/>
      <c r="K7" s="29" t="s">
        <v>968</v>
      </c>
      <c r="L7" s="30"/>
    </row>
    <row r="8" spans="1:13">
      <c r="A8" s="4"/>
      <c r="B8" s="8">
        <v>3</v>
      </c>
      <c r="C8" s="20" t="s">
        <v>972</v>
      </c>
      <c r="D8" s="45" t="s">
        <v>1949</v>
      </c>
      <c r="E8" s="20"/>
      <c r="F8" s="20"/>
      <c r="G8" s="20"/>
      <c r="H8" s="20"/>
      <c r="I8" s="20" t="s">
        <v>974</v>
      </c>
      <c r="J8" s="20"/>
      <c r="K8" s="30" t="s">
        <v>975</v>
      </c>
      <c r="L8" s="30"/>
    </row>
    <row r="9" spans="1:13">
      <c r="A9" s="4"/>
      <c r="B9" s="8">
        <v>4</v>
      </c>
      <c r="C9" s="46" t="s">
        <v>35</v>
      </c>
      <c r="D9" s="20" t="s">
        <v>36</v>
      </c>
      <c r="E9" s="20"/>
      <c r="F9" s="20"/>
      <c r="G9" s="20"/>
      <c r="H9" s="20"/>
      <c r="I9" s="20" t="s">
        <v>947</v>
      </c>
      <c r="J9" s="20">
        <v>10</v>
      </c>
      <c r="K9" s="107" t="s">
        <v>978</v>
      </c>
      <c r="L9" s="159" t="s">
        <v>1798</v>
      </c>
      <c r="M9" t="s">
        <v>1640</v>
      </c>
    </row>
    <row r="10" spans="1:13">
      <c r="A10" s="4"/>
      <c r="B10" s="8">
        <v>5</v>
      </c>
      <c r="C10" s="8" t="s">
        <v>270</v>
      </c>
      <c r="D10" s="406" t="s">
        <v>293</v>
      </c>
      <c r="E10" s="8"/>
      <c r="F10" s="8"/>
      <c r="G10" s="8"/>
      <c r="H10" s="8" t="s">
        <v>1065</v>
      </c>
      <c r="I10" s="72" t="s">
        <v>947</v>
      </c>
      <c r="J10" s="146">
        <v>4</v>
      </c>
      <c r="K10" s="31" t="s">
        <v>2731</v>
      </c>
      <c r="L10" s="33">
        <v>2020</v>
      </c>
    </row>
    <row r="11" spans="1:13">
      <c r="A11" s="4"/>
      <c r="B11" s="8">
        <v>6</v>
      </c>
      <c r="C11" s="8" t="s">
        <v>274</v>
      </c>
      <c r="D11" s="408" t="s">
        <v>301</v>
      </c>
      <c r="E11" s="8"/>
      <c r="F11" s="8"/>
      <c r="G11" s="8"/>
      <c r="H11" s="8" t="s">
        <v>1065</v>
      </c>
      <c r="I11" s="72" t="s">
        <v>947</v>
      </c>
      <c r="J11" s="147">
        <v>2</v>
      </c>
      <c r="K11" s="31" t="s">
        <v>2732</v>
      </c>
      <c r="L11" s="33">
        <v>10</v>
      </c>
    </row>
    <row r="12" spans="1:13">
      <c r="A12" s="4"/>
      <c r="B12" s="8">
        <v>7</v>
      </c>
      <c r="C12" s="8" t="s">
        <v>122</v>
      </c>
      <c r="D12" s="408" t="s">
        <v>123</v>
      </c>
      <c r="E12" s="8"/>
      <c r="F12" s="8"/>
      <c r="G12" s="8"/>
      <c r="H12" s="8" t="s">
        <v>1065</v>
      </c>
      <c r="I12" s="8" t="s">
        <v>947</v>
      </c>
      <c r="J12" s="8">
        <v>10</v>
      </c>
      <c r="K12" s="33" t="s">
        <v>2733</v>
      </c>
      <c r="L12" s="33">
        <v>10955</v>
      </c>
    </row>
    <row r="13" spans="1:13">
      <c r="A13" s="4"/>
      <c r="B13" s="8">
        <v>8</v>
      </c>
      <c r="C13" s="47" t="s">
        <v>4</v>
      </c>
      <c r="D13" s="48" t="s">
        <v>19</v>
      </c>
      <c r="E13" s="8"/>
      <c r="F13" s="8"/>
      <c r="G13" s="8"/>
      <c r="H13" s="8" t="s">
        <v>1065</v>
      </c>
      <c r="I13" s="8" t="s">
        <v>947</v>
      </c>
      <c r="J13" s="8">
        <v>10</v>
      </c>
      <c r="K13" s="31" t="s">
        <v>2734</v>
      </c>
      <c r="L13" s="8">
        <v>706101</v>
      </c>
    </row>
    <row r="14" spans="1:13">
      <c r="A14" s="4"/>
      <c r="B14" s="8">
        <v>9</v>
      </c>
      <c r="C14" s="47" t="s">
        <v>20</v>
      </c>
      <c r="D14" s="48" t="s">
        <v>2600</v>
      </c>
      <c r="E14" s="8"/>
      <c r="F14" s="8"/>
      <c r="G14" s="8"/>
      <c r="H14" s="8" t="s">
        <v>1065</v>
      </c>
      <c r="I14" s="8" t="s">
        <v>947</v>
      </c>
      <c r="J14" s="8">
        <v>24</v>
      </c>
      <c r="K14" s="31" t="s">
        <v>2735</v>
      </c>
      <c r="L14" s="32" t="s">
        <v>2664</v>
      </c>
    </row>
    <row r="15" spans="1:13">
      <c r="A15" s="4"/>
      <c r="B15" s="8">
        <v>10</v>
      </c>
      <c r="C15" s="47" t="s">
        <v>2736</v>
      </c>
      <c r="D15" s="8" t="s">
        <v>2737</v>
      </c>
      <c r="E15" s="8"/>
      <c r="F15" s="8"/>
      <c r="G15" s="8"/>
      <c r="H15" s="8"/>
      <c r="I15" s="8" t="s">
        <v>1053</v>
      </c>
      <c r="J15" s="8" t="s">
        <v>1054</v>
      </c>
      <c r="K15" s="31"/>
      <c r="L15" s="32"/>
    </row>
    <row r="16" spans="1:13">
      <c r="A16" s="4"/>
      <c r="B16" s="8">
        <v>11</v>
      </c>
      <c r="C16" s="47" t="s">
        <v>527</v>
      </c>
      <c r="D16" s="8" t="s">
        <v>2738</v>
      </c>
      <c r="E16" s="8"/>
      <c r="F16" s="8"/>
      <c r="G16" s="8"/>
      <c r="H16" s="8"/>
      <c r="I16" s="8" t="s">
        <v>1053</v>
      </c>
      <c r="J16" s="8" t="s">
        <v>1054</v>
      </c>
      <c r="K16" s="31"/>
      <c r="L16" s="32"/>
    </row>
    <row r="17" spans="1:12">
      <c r="A17" s="4"/>
      <c r="B17" s="8">
        <v>12</v>
      </c>
      <c r="C17" s="47" t="s">
        <v>529</v>
      </c>
      <c r="D17" s="8" t="s">
        <v>2739</v>
      </c>
      <c r="E17" s="8"/>
      <c r="F17" s="8"/>
      <c r="G17" s="8"/>
      <c r="H17" s="8"/>
      <c r="I17" s="8" t="s">
        <v>1053</v>
      </c>
      <c r="J17" s="8" t="s">
        <v>1054</v>
      </c>
      <c r="K17" s="31"/>
      <c r="L17" s="32"/>
    </row>
    <row r="18" spans="1:12">
      <c r="A18" s="4"/>
      <c r="B18" s="8">
        <v>13</v>
      </c>
      <c r="C18" s="47" t="s">
        <v>531</v>
      </c>
      <c r="D18" s="8" t="s">
        <v>2740</v>
      </c>
      <c r="E18" s="8"/>
      <c r="F18" s="8"/>
      <c r="G18" s="8"/>
      <c r="H18" s="8"/>
      <c r="I18" s="8" t="s">
        <v>1053</v>
      </c>
      <c r="J18" s="8" t="s">
        <v>1054</v>
      </c>
      <c r="K18" s="31"/>
      <c r="L18" s="32"/>
    </row>
    <row r="19" spans="1:12">
      <c r="A19" s="4"/>
      <c r="B19" s="8">
        <v>14</v>
      </c>
      <c r="C19" s="47" t="s">
        <v>533</v>
      </c>
      <c r="D19" s="8" t="s">
        <v>2741</v>
      </c>
      <c r="E19" s="8"/>
      <c r="F19" s="8"/>
      <c r="G19" s="8"/>
      <c r="H19" s="8"/>
      <c r="I19" s="8" t="s">
        <v>1053</v>
      </c>
      <c r="J19" s="8" t="s">
        <v>1054</v>
      </c>
      <c r="K19" s="31"/>
      <c r="L19" s="32"/>
    </row>
    <row r="20" spans="1:12">
      <c r="A20" s="4"/>
      <c r="B20" s="8">
        <v>15</v>
      </c>
      <c r="C20" s="47" t="s">
        <v>535</v>
      </c>
      <c r="D20" s="8" t="s">
        <v>2742</v>
      </c>
      <c r="E20" s="8"/>
      <c r="F20" s="8"/>
      <c r="G20" s="8"/>
      <c r="H20" s="8"/>
      <c r="I20" s="8" t="s">
        <v>1053</v>
      </c>
      <c r="J20" s="8" t="s">
        <v>1054</v>
      </c>
      <c r="K20" s="33"/>
      <c r="L20" s="32"/>
    </row>
    <row r="21" spans="1:12">
      <c r="A21" s="4"/>
      <c r="B21" s="8">
        <v>16</v>
      </c>
      <c r="C21" s="47" t="s">
        <v>537</v>
      </c>
      <c r="D21" s="8" t="s">
        <v>2743</v>
      </c>
      <c r="E21" s="8"/>
      <c r="F21" s="8"/>
      <c r="G21" s="8"/>
      <c r="H21" s="8"/>
      <c r="I21" s="8" t="s">
        <v>1053</v>
      </c>
      <c r="J21" s="8" t="s">
        <v>1054</v>
      </c>
      <c r="K21" s="33"/>
      <c r="L21" s="32"/>
    </row>
    <row r="22" spans="1:12">
      <c r="A22" s="4"/>
      <c r="B22" s="8">
        <v>17</v>
      </c>
      <c r="C22" s="47" t="s">
        <v>539</v>
      </c>
      <c r="D22" s="8" t="s">
        <v>2744</v>
      </c>
      <c r="E22" s="8"/>
      <c r="F22" s="8"/>
      <c r="G22" s="8"/>
      <c r="H22" s="8"/>
      <c r="I22" s="8" t="s">
        <v>1053</v>
      </c>
      <c r="J22" s="8" t="s">
        <v>1054</v>
      </c>
      <c r="K22" s="33"/>
      <c r="L22" s="32"/>
    </row>
    <row r="23" spans="1:12">
      <c r="A23" s="4"/>
      <c r="B23" s="8">
        <v>18</v>
      </c>
      <c r="C23" s="47" t="s">
        <v>541</v>
      </c>
      <c r="D23" s="8" t="s">
        <v>2745</v>
      </c>
      <c r="E23" s="8"/>
      <c r="F23" s="8"/>
      <c r="G23" s="8"/>
      <c r="H23" s="8"/>
      <c r="I23" s="8" t="s">
        <v>1053</v>
      </c>
      <c r="J23" s="8" t="s">
        <v>1054</v>
      </c>
      <c r="K23" s="33"/>
      <c r="L23" s="32"/>
    </row>
    <row r="24" spans="1:12">
      <c r="A24" s="4"/>
      <c r="B24" s="8">
        <v>19</v>
      </c>
      <c r="C24" s="47" t="s">
        <v>543</v>
      </c>
      <c r="D24" s="8" t="s">
        <v>2746</v>
      </c>
      <c r="E24" s="8"/>
      <c r="F24" s="8"/>
      <c r="G24" s="8"/>
      <c r="H24" s="8"/>
      <c r="I24" s="8" t="s">
        <v>1053</v>
      </c>
      <c r="J24" s="8" t="s">
        <v>1054</v>
      </c>
      <c r="K24" s="33"/>
      <c r="L24" s="32"/>
    </row>
    <row r="25" spans="1:12">
      <c r="A25" s="4"/>
      <c r="B25" s="8">
        <v>20</v>
      </c>
      <c r="C25" s="47" t="s">
        <v>545</v>
      </c>
      <c r="D25" s="8" t="s">
        <v>2747</v>
      </c>
      <c r="E25" s="8"/>
      <c r="F25" s="8"/>
      <c r="G25" s="8"/>
      <c r="H25" s="8"/>
      <c r="I25" s="8" t="s">
        <v>1053</v>
      </c>
      <c r="J25" s="8" t="s">
        <v>1054</v>
      </c>
      <c r="K25" s="33"/>
      <c r="L25" s="32"/>
    </row>
    <row r="26" spans="1:12">
      <c r="B26" s="8">
        <v>21</v>
      </c>
      <c r="C26" s="47" t="s">
        <v>547</v>
      </c>
      <c r="D26" s="8" t="s">
        <v>2748</v>
      </c>
      <c r="E26" s="16"/>
      <c r="F26" s="16"/>
      <c r="G26" s="16"/>
      <c r="H26" s="16"/>
      <c r="I26" s="8" t="s">
        <v>1053</v>
      </c>
      <c r="J26" s="8" t="s">
        <v>1054</v>
      </c>
      <c r="K26" s="16"/>
      <c r="L26" s="16"/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27E8CD31-7D65-4292-B3F3-399F56264807}"/>
  </hyperlink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DFB41-53C1-4561-83A5-86287CC8D013}">
  <sheetPr codeName="Sheet55">
    <tabColor rgb="FF0066FF"/>
  </sheetPr>
  <dimension ref="A1:L27"/>
  <sheetViews>
    <sheetView topLeftCell="C20" workbookViewId="0">
      <selection activeCell="D24" sqref="D24:D27"/>
    </sheetView>
  </sheetViews>
  <sheetFormatPr defaultRowHeight="16.5"/>
  <cols>
    <col min="2" max="2" width="6.875" bestFit="1" customWidth="1"/>
    <col min="3" max="3" width="16.5" bestFit="1" customWidth="1"/>
    <col min="4" max="4" width="33.75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52.875" bestFit="1" customWidth="1"/>
    <col min="12" max="12" width="34.625" customWidth="1"/>
  </cols>
  <sheetData>
    <row r="1" spans="1:12" ht="20.25">
      <c r="A1" s="4"/>
      <c r="B1" s="5" t="s">
        <v>1492</v>
      </c>
      <c r="D1" s="482" t="s">
        <v>2749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1161</v>
      </c>
      <c r="E3" s="495"/>
      <c r="F3" s="495"/>
      <c r="G3" s="496"/>
      <c r="H3" s="495" t="s">
        <v>2750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1210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2">
      <c r="A6" t="s">
        <v>1650</v>
      </c>
      <c r="B6" s="21">
        <v>1</v>
      </c>
      <c r="C6" s="256" t="s">
        <v>1515</v>
      </c>
      <c r="D6" s="257" t="s">
        <v>1546</v>
      </c>
      <c r="E6" s="256" t="s">
        <v>1065</v>
      </c>
      <c r="F6" s="256"/>
      <c r="G6" s="256"/>
      <c r="H6" s="256" t="s">
        <v>1065</v>
      </c>
      <c r="I6" s="256" t="s">
        <v>947</v>
      </c>
      <c r="J6" s="256">
        <v>20</v>
      </c>
      <c r="K6" s="139"/>
      <c r="L6" s="138"/>
    </row>
    <row r="7" spans="1:12" s="145" customFormat="1">
      <c r="A7" s="1"/>
      <c r="B7" s="253">
        <v>2</v>
      </c>
      <c r="C7" s="253" t="s">
        <v>270</v>
      </c>
      <c r="D7" s="412" t="s">
        <v>2003</v>
      </c>
      <c r="E7" s="253" t="s">
        <v>1065</v>
      </c>
      <c r="F7" s="253"/>
      <c r="G7" s="253"/>
      <c r="H7" s="253" t="s">
        <v>1065</v>
      </c>
      <c r="I7" s="246" t="s">
        <v>947</v>
      </c>
      <c r="J7" s="246">
        <v>4</v>
      </c>
      <c r="K7" s="254"/>
      <c r="L7" s="87">
        <v>2020</v>
      </c>
    </row>
    <row r="8" spans="1:12" s="145" customFormat="1">
      <c r="A8" s="1"/>
      <c r="B8" s="253">
        <v>3</v>
      </c>
      <c r="C8" s="253" t="s">
        <v>274</v>
      </c>
      <c r="D8" s="426" t="s">
        <v>1913</v>
      </c>
      <c r="E8" s="253" t="s">
        <v>1065</v>
      </c>
      <c r="F8" s="253"/>
      <c r="G8" s="253"/>
      <c r="H8" s="253" t="s">
        <v>1065</v>
      </c>
      <c r="I8" s="246" t="s">
        <v>947</v>
      </c>
      <c r="J8" s="246">
        <v>2</v>
      </c>
      <c r="K8" s="254" t="s">
        <v>2713</v>
      </c>
      <c r="L8" s="87">
        <v>10</v>
      </c>
    </row>
    <row r="9" spans="1:12">
      <c r="A9" s="4"/>
      <c r="B9" s="21">
        <v>4</v>
      </c>
      <c r="C9" s="161" t="s">
        <v>122</v>
      </c>
      <c r="D9" s="426" t="s">
        <v>1691</v>
      </c>
      <c r="E9" s="161" t="s">
        <v>1065</v>
      </c>
      <c r="F9" s="302" t="s">
        <v>1065</v>
      </c>
      <c r="G9" s="302" t="s">
        <v>1886</v>
      </c>
      <c r="H9" s="161" t="s">
        <v>1065</v>
      </c>
      <c r="I9" s="161" t="s">
        <v>947</v>
      </c>
      <c r="J9" s="161">
        <v>10</v>
      </c>
      <c r="K9" s="168"/>
      <c r="L9" s="168">
        <v>10955</v>
      </c>
    </row>
    <row r="10" spans="1:12">
      <c r="A10" s="4"/>
      <c r="B10" s="253">
        <v>5</v>
      </c>
      <c r="C10" s="184" t="s">
        <v>18</v>
      </c>
      <c r="D10" s="14" t="s">
        <v>19</v>
      </c>
      <c r="E10" s="161" t="s">
        <v>1065</v>
      </c>
      <c r="F10" s="302" t="s">
        <v>1065</v>
      </c>
      <c r="G10" s="302" t="s">
        <v>2659</v>
      </c>
      <c r="H10" s="161" t="s">
        <v>1065</v>
      </c>
      <c r="I10" s="161" t="s">
        <v>947</v>
      </c>
      <c r="J10" s="161">
        <v>10</v>
      </c>
      <c r="K10" s="165"/>
      <c r="L10" s="168">
        <v>706101</v>
      </c>
    </row>
    <row r="11" spans="1:12">
      <c r="A11" s="4"/>
      <c r="B11" s="253">
        <v>6</v>
      </c>
      <c r="C11" s="184" t="s">
        <v>6</v>
      </c>
      <c r="D11" s="14" t="s">
        <v>21</v>
      </c>
      <c r="E11" s="161"/>
      <c r="F11" s="302" t="s">
        <v>1065</v>
      </c>
      <c r="G11" s="302" t="s">
        <v>2660</v>
      </c>
      <c r="H11" s="161" t="s">
        <v>1065</v>
      </c>
      <c r="I11" s="161" t="s">
        <v>947</v>
      </c>
      <c r="J11" s="161">
        <v>24</v>
      </c>
      <c r="K11" s="165"/>
      <c r="L11" s="179" t="s">
        <v>2664</v>
      </c>
    </row>
    <row r="12" spans="1:12">
      <c r="A12" s="4"/>
      <c r="B12" s="21">
        <v>7</v>
      </c>
      <c r="C12" s="184" t="s">
        <v>525</v>
      </c>
      <c r="D12" s="161" t="s">
        <v>2751</v>
      </c>
      <c r="E12" s="161"/>
      <c r="F12" s="161"/>
      <c r="G12" s="161"/>
      <c r="H12" s="161"/>
      <c r="I12" s="161" t="s">
        <v>1053</v>
      </c>
      <c r="J12" s="161" t="s">
        <v>1054</v>
      </c>
      <c r="K12" s="165"/>
      <c r="L12" s="179"/>
    </row>
    <row r="13" spans="1:12">
      <c r="A13" s="4"/>
      <c r="B13" s="253">
        <v>8</v>
      </c>
      <c r="C13" s="184" t="s">
        <v>527</v>
      </c>
      <c r="D13" s="161" t="s">
        <v>2738</v>
      </c>
      <c r="E13" s="161"/>
      <c r="F13" s="161"/>
      <c r="G13" s="161"/>
      <c r="H13" s="161"/>
      <c r="I13" s="161" t="s">
        <v>1053</v>
      </c>
      <c r="J13" s="161" t="s">
        <v>1054</v>
      </c>
      <c r="K13" s="165"/>
      <c r="L13" s="179"/>
    </row>
    <row r="14" spans="1:12">
      <c r="A14" s="4"/>
      <c r="B14" s="253">
        <v>9</v>
      </c>
      <c r="C14" s="184" t="s">
        <v>529</v>
      </c>
      <c r="D14" s="161" t="s">
        <v>2739</v>
      </c>
      <c r="E14" s="161"/>
      <c r="F14" s="161"/>
      <c r="G14" s="161"/>
      <c r="H14" s="161"/>
      <c r="I14" s="161" t="s">
        <v>1053</v>
      </c>
      <c r="J14" s="161" t="s">
        <v>1054</v>
      </c>
      <c r="K14" s="165"/>
      <c r="L14" s="180"/>
    </row>
    <row r="15" spans="1:12">
      <c r="A15" s="4"/>
      <c r="B15" s="21">
        <v>10</v>
      </c>
      <c r="C15" s="184" t="s">
        <v>531</v>
      </c>
      <c r="D15" s="161" t="s">
        <v>2740</v>
      </c>
      <c r="E15" s="161"/>
      <c r="F15" s="161"/>
      <c r="G15" s="161"/>
      <c r="H15" s="161"/>
      <c r="I15" s="161" t="s">
        <v>1053</v>
      </c>
      <c r="J15" s="161" t="s">
        <v>1054</v>
      </c>
      <c r="K15" s="165"/>
      <c r="L15" s="180"/>
    </row>
    <row r="16" spans="1:12">
      <c r="A16" s="4"/>
      <c r="B16" s="253">
        <v>11</v>
      </c>
      <c r="C16" s="184" t="s">
        <v>533</v>
      </c>
      <c r="D16" s="161" t="s">
        <v>2741</v>
      </c>
      <c r="E16" s="161"/>
      <c r="F16" s="161"/>
      <c r="G16" s="161"/>
      <c r="H16" s="161"/>
      <c r="I16" s="161" t="s">
        <v>1053</v>
      </c>
      <c r="J16" s="161" t="s">
        <v>1054</v>
      </c>
      <c r="K16" s="165"/>
      <c r="L16" s="180"/>
    </row>
    <row r="17" spans="1:12">
      <c r="A17" s="4"/>
      <c r="B17" s="253">
        <v>12</v>
      </c>
      <c r="C17" s="184" t="s">
        <v>535</v>
      </c>
      <c r="D17" s="161" t="s">
        <v>2742</v>
      </c>
      <c r="E17" s="161"/>
      <c r="F17" s="161"/>
      <c r="G17" s="161"/>
      <c r="H17" s="161"/>
      <c r="I17" s="161" t="s">
        <v>1053</v>
      </c>
      <c r="J17" s="161" t="s">
        <v>1054</v>
      </c>
      <c r="K17" s="168"/>
      <c r="L17" s="180"/>
    </row>
    <row r="18" spans="1:12">
      <c r="A18" s="4"/>
      <c r="B18" s="21">
        <v>13</v>
      </c>
      <c r="C18" s="184" t="s">
        <v>537</v>
      </c>
      <c r="D18" s="161" t="s">
        <v>2743</v>
      </c>
      <c r="E18" s="161"/>
      <c r="F18" s="161"/>
      <c r="G18" s="161"/>
      <c r="H18" s="161"/>
      <c r="I18" s="161" t="s">
        <v>1053</v>
      </c>
      <c r="J18" s="161" t="s">
        <v>1054</v>
      </c>
      <c r="K18" s="168"/>
      <c r="L18" s="180"/>
    </row>
    <row r="19" spans="1:12">
      <c r="A19" s="4"/>
      <c r="B19" s="253">
        <v>14</v>
      </c>
      <c r="C19" s="184" t="s">
        <v>539</v>
      </c>
      <c r="D19" s="161" t="s">
        <v>2744</v>
      </c>
      <c r="E19" s="161"/>
      <c r="F19" s="161"/>
      <c r="G19" s="161"/>
      <c r="H19" s="161"/>
      <c r="I19" s="161" t="s">
        <v>1053</v>
      </c>
      <c r="J19" s="161" t="s">
        <v>1054</v>
      </c>
      <c r="K19" s="168"/>
      <c r="L19" s="180"/>
    </row>
    <row r="20" spans="1:12">
      <c r="A20" s="4"/>
      <c r="B20" s="253">
        <v>15</v>
      </c>
      <c r="C20" s="184" t="s">
        <v>541</v>
      </c>
      <c r="D20" s="161" t="s">
        <v>2745</v>
      </c>
      <c r="E20" s="161"/>
      <c r="F20" s="161"/>
      <c r="G20" s="161"/>
      <c r="H20" s="161"/>
      <c r="I20" s="161" t="s">
        <v>1053</v>
      </c>
      <c r="J20" s="161" t="s">
        <v>1054</v>
      </c>
      <c r="K20" s="168"/>
      <c r="L20" s="180"/>
    </row>
    <row r="21" spans="1:12">
      <c r="A21" s="4"/>
      <c r="B21" s="21">
        <v>16</v>
      </c>
      <c r="C21" s="184" t="s">
        <v>543</v>
      </c>
      <c r="D21" s="161" t="s">
        <v>2746</v>
      </c>
      <c r="E21" s="161"/>
      <c r="F21" s="161"/>
      <c r="G21" s="161"/>
      <c r="H21" s="161"/>
      <c r="I21" s="161" t="s">
        <v>1053</v>
      </c>
      <c r="J21" s="161" t="s">
        <v>1054</v>
      </c>
      <c r="K21" s="168"/>
      <c r="L21" s="180"/>
    </row>
    <row r="22" spans="1:12">
      <c r="A22" s="4"/>
      <c r="B22" s="253">
        <v>17</v>
      </c>
      <c r="C22" s="184" t="s">
        <v>545</v>
      </c>
      <c r="D22" s="161" t="s">
        <v>2747</v>
      </c>
      <c r="E22" s="161"/>
      <c r="F22" s="161"/>
      <c r="G22" s="161"/>
      <c r="H22" s="161"/>
      <c r="I22" s="161" t="s">
        <v>1053</v>
      </c>
      <c r="J22" s="161" t="s">
        <v>1054</v>
      </c>
      <c r="K22" s="168"/>
      <c r="L22" s="180"/>
    </row>
    <row r="23" spans="1:12">
      <c r="B23" s="253">
        <v>18</v>
      </c>
      <c r="C23" s="184" t="s">
        <v>547</v>
      </c>
      <c r="D23" s="161" t="s">
        <v>2748</v>
      </c>
      <c r="E23" s="26"/>
      <c r="F23" s="26"/>
      <c r="G23" s="26"/>
      <c r="H23" s="26"/>
      <c r="I23" s="161" t="s">
        <v>1053</v>
      </c>
      <c r="J23" s="161" t="s">
        <v>1054</v>
      </c>
      <c r="K23" s="26"/>
      <c r="L23" s="26"/>
    </row>
    <row r="24" spans="1:12">
      <c r="B24" s="21">
        <v>19</v>
      </c>
      <c r="C24" s="176" t="s">
        <v>27</v>
      </c>
      <c r="D24" s="176" t="s">
        <v>28</v>
      </c>
      <c r="E24" s="176" t="s">
        <v>1072</v>
      </c>
      <c r="F24" s="176" t="s">
        <v>1072</v>
      </c>
      <c r="G24" s="176" t="s">
        <v>1072</v>
      </c>
      <c r="H24" s="176" t="s">
        <v>1072</v>
      </c>
      <c r="I24" s="176" t="s">
        <v>951</v>
      </c>
      <c r="J24" s="176"/>
      <c r="K24" s="177" t="s">
        <v>1511</v>
      </c>
      <c r="L24" s="255" t="s">
        <v>1072</v>
      </c>
    </row>
    <row r="25" spans="1:12">
      <c r="B25" s="253">
        <v>20</v>
      </c>
      <c r="C25" s="176" t="s">
        <v>33</v>
      </c>
      <c r="D25" s="176" t="s">
        <v>34</v>
      </c>
      <c r="E25" s="176" t="s">
        <v>1072</v>
      </c>
      <c r="F25" s="176" t="s">
        <v>1072</v>
      </c>
      <c r="G25" s="176" t="s">
        <v>1072</v>
      </c>
      <c r="H25" s="176" t="s">
        <v>1072</v>
      </c>
      <c r="I25" s="176" t="s">
        <v>947</v>
      </c>
      <c r="J25" s="176"/>
      <c r="K25" s="177" t="s">
        <v>1511</v>
      </c>
      <c r="L25" s="255" t="s">
        <v>1072</v>
      </c>
    </row>
    <row r="26" spans="1:12">
      <c r="B26" s="253">
        <v>21</v>
      </c>
      <c r="C26" s="176" t="s">
        <v>37</v>
      </c>
      <c r="D26" s="176" t="s">
        <v>38</v>
      </c>
      <c r="E26" s="176" t="s">
        <v>1072</v>
      </c>
      <c r="F26" s="176" t="s">
        <v>1072</v>
      </c>
      <c r="G26" s="176" t="s">
        <v>1072</v>
      </c>
      <c r="H26" s="176" t="s">
        <v>1072</v>
      </c>
      <c r="I26" s="176" t="s">
        <v>951</v>
      </c>
      <c r="J26" s="176"/>
      <c r="K26" s="177" t="s">
        <v>1511</v>
      </c>
      <c r="L26" s="255" t="s">
        <v>1072</v>
      </c>
    </row>
    <row r="27" spans="1:12">
      <c r="B27" s="21">
        <v>22</v>
      </c>
      <c r="C27" s="176" t="s">
        <v>43</v>
      </c>
      <c r="D27" s="176" t="s">
        <v>44</v>
      </c>
      <c r="E27" s="176" t="s">
        <v>1072</v>
      </c>
      <c r="F27" s="176" t="s">
        <v>1072</v>
      </c>
      <c r="G27" s="176" t="s">
        <v>1072</v>
      </c>
      <c r="H27" s="176" t="s">
        <v>1072</v>
      </c>
      <c r="I27" s="176" t="s">
        <v>947</v>
      </c>
      <c r="J27" s="176"/>
      <c r="K27" s="177" t="s">
        <v>1511</v>
      </c>
      <c r="L27" s="255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3DED8D09-DE55-41D4-85F6-CD1564995FDB}"/>
  </hyperlink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F82D8-44D4-4BC7-82B4-6DFE63F8359A}">
  <sheetPr codeName="Sheet60">
    <tabColor rgb="FF0066FF"/>
  </sheetPr>
  <dimension ref="A1:L61"/>
  <sheetViews>
    <sheetView topLeftCell="B51" workbookViewId="0">
      <selection activeCell="D12" sqref="D12:D59"/>
    </sheetView>
  </sheetViews>
  <sheetFormatPr defaultRowHeight="16.5"/>
  <cols>
    <col min="2" max="2" width="9.625" bestFit="1" customWidth="1"/>
    <col min="3" max="3" width="20.5" bestFit="1" customWidth="1"/>
    <col min="4" max="4" width="23.5" bestFit="1" customWidth="1"/>
    <col min="5" max="5" width="3.75" bestFit="1" customWidth="1"/>
    <col min="6" max="6" width="3.75" customWidth="1"/>
    <col min="7" max="7" width="25.125" bestFit="1" customWidth="1"/>
    <col min="8" max="8" width="10.5" bestFit="1" customWidth="1"/>
    <col min="9" max="9" width="11.625" bestFit="1" customWidth="1"/>
    <col min="10" max="10" width="8.5" bestFit="1" customWidth="1"/>
    <col min="11" max="12" width="34.625" customWidth="1"/>
  </cols>
  <sheetData>
    <row r="1" spans="1:12" ht="20.25">
      <c r="A1" s="4"/>
      <c r="B1" s="361" t="s">
        <v>1492</v>
      </c>
      <c r="D1" s="482" t="s">
        <v>2752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83"/>
      <c r="D3" s="494" t="s">
        <v>1489</v>
      </c>
      <c r="E3" s="494"/>
      <c r="F3" s="494"/>
      <c r="G3" s="494"/>
      <c r="H3" s="495" t="s">
        <v>2753</v>
      </c>
      <c r="I3" s="495"/>
      <c r="J3" s="495"/>
      <c r="K3" s="11"/>
      <c r="L3" s="11"/>
    </row>
    <row r="4" spans="1:12">
      <c r="A4" s="4"/>
      <c r="B4" s="483" t="s">
        <v>1231</v>
      </c>
      <c r="C4" s="483"/>
      <c r="D4" s="498" t="s">
        <v>1210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17" t="s">
        <v>1494</v>
      </c>
      <c r="C5" s="17" t="s">
        <v>14</v>
      </c>
      <c r="D5" s="18" t="s">
        <v>15</v>
      </c>
      <c r="E5" s="18" t="s">
        <v>928</v>
      </c>
      <c r="F5" s="18" t="s">
        <v>929</v>
      </c>
      <c r="G5" s="18" t="s">
        <v>930</v>
      </c>
      <c r="H5" s="18" t="s">
        <v>931</v>
      </c>
      <c r="I5" s="18" t="s">
        <v>932</v>
      </c>
      <c r="J5" s="19" t="s">
        <v>933</v>
      </c>
      <c r="K5" s="17" t="s">
        <v>934</v>
      </c>
      <c r="L5" s="17" t="s">
        <v>935</v>
      </c>
    </row>
    <row r="6" spans="1:12">
      <c r="A6" t="s">
        <v>1650</v>
      </c>
      <c r="B6" s="8">
        <v>1</v>
      </c>
      <c r="C6" s="256" t="s">
        <v>1515</v>
      </c>
      <c r="D6" s="257" t="s">
        <v>1546</v>
      </c>
      <c r="E6" s="256" t="s">
        <v>1065</v>
      </c>
      <c r="F6" s="256"/>
      <c r="G6" s="256"/>
      <c r="H6" s="256" t="s">
        <v>1065</v>
      </c>
      <c r="I6" s="256" t="s">
        <v>947</v>
      </c>
      <c r="J6" s="256">
        <v>20</v>
      </c>
      <c r="K6" s="139"/>
      <c r="L6" s="138"/>
    </row>
    <row r="7" spans="1:12">
      <c r="A7" s="4"/>
      <c r="B7" s="8">
        <v>2</v>
      </c>
      <c r="C7" s="8" t="s">
        <v>270</v>
      </c>
      <c r="D7" s="406" t="s">
        <v>2003</v>
      </c>
      <c r="E7" s="16" t="s">
        <v>1807</v>
      </c>
      <c r="F7" s="8"/>
      <c r="G7" s="8"/>
      <c r="H7" s="16" t="s">
        <v>1807</v>
      </c>
      <c r="I7" s="16" t="s">
        <v>947</v>
      </c>
      <c r="J7" s="16">
        <v>6</v>
      </c>
      <c r="K7" s="31" t="s">
        <v>1123</v>
      </c>
      <c r="L7" s="33"/>
    </row>
    <row r="8" spans="1:12">
      <c r="A8" s="4"/>
      <c r="B8" s="8">
        <v>3</v>
      </c>
      <c r="C8" s="8" t="s">
        <v>274</v>
      </c>
      <c r="D8" s="408" t="s">
        <v>2754</v>
      </c>
      <c r="E8" s="16" t="s">
        <v>1807</v>
      </c>
      <c r="F8" s="8"/>
      <c r="G8" s="8"/>
      <c r="H8" s="16" t="s">
        <v>1807</v>
      </c>
      <c r="I8" s="16" t="s">
        <v>947</v>
      </c>
      <c r="J8" s="16">
        <v>6</v>
      </c>
      <c r="K8" s="31" t="s">
        <v>2004</v>
      </c>
      <c r="L8" s="33"/>
    </row>
    <row r="9" spans="1:12">
      <c r="A9" s="4"/>
      <c r="B9" s="8">
        <v>4</v>
      </c>
      <c r="C9" s="8" t="s">
        <v>1914</v>
      </c>
      <c r="D9" s="408" t="s">
        <v>1761</v>
      </c>
      <c r="E9" s="16" t="s">
        <v>1807</v>
      </c>
      <c r="F9" s="16"/>
      <c r="G9" s="8"/>
      <c r="H9" s="16" t="s">
        <v>1807</v>
      </c>
      <c r="I9" s="16" t="s">
        <v>947</v>
      </c>
      <c r="J9" s="16">
        <v>30</v>
      </c>
      <c r="K9" s="33"/>
      <c r="L9" s="33"/>
    </row>
    <row r="10" spans="1:12">
      <c r="A10" s="4" t="s">
        <v>2005</v>
      </c>
      <c r="B10" s="8">
        <v>5</v>
      </c>
      <c r="C10" s="161" t="s">
        <v>1762</v>
      </c>
      <c r="D10" s="65" t="s">
        <v>2755</v>
      </c>
      <c r="E10" s="16"/>
      <c r="F10" s="8"/>
      <c r="G10" s="8"/>
      <c r="H10" s="16" t="s">
        <v>1807</v>
      </c>
      <c r="I10" s="16" t="s">
        <v>1614</v>
      </c>
      <c r="J10" s="16">
        <v>6</v>
      </c>
      <c r="K10" s="117" t="s">
        <v>2007</v>
      </c>
      <c r="L10" s="33"/>
    </row>
    <row r="11" spans="1:12">
      <c r="A11" s="4"/>
      <c r="B11" s="8">
        <v>6</v>
      </c>
      <c r="C11" s="21" t="s">
        <v>2008</v>
      </c>
      <c r="D11" s="15" t="s">
        <v>2756</v>
      </c>
      <c r="E11" s="16" t="s">
        <v>1807</v>
      </c>
      <c r="F11" s="8"/>
      <c r="G11" s="8"/>
      <c r="H11" s="16" t="s">
        <v>1807</v>
      </c>
      <c r="I11" s="16" t="s">
        <v>947</v>
      </c>
      <c r="J11" s="16">
        <v>5</v>
      </c>
      <c r="K11" s="117" t="s">
        <v>2757</v>
      </c>
      <c r="L11" s="33"/>
    </row>
    <row r="12" spans="1:12">
      <c r="B12" s="8">
        <v>7</v>
      </c>
      <c r="C12" s="26" t="s">
        <v>2011</v>
      </c>
      <c r="D12" s="111" t="s">
        <v>2012</v>
      </c>
      <c r="E12" s="3"/>
      <c r="F12" s="3"/>
      <c r="G12" s="3"/>
      <c r="H12" s="3"/>
      <c r="I12" s="16" t="s">
        <v>1053</v>
      </c>
      <c r="J12" s="16" t="s">
        <v>1054</v>
      </c>
      <c r="L12" s="80"/>
    </row>
    <row r="13" spans="1:12">
      <c r="B13" s="8">
        <v>8</v>
      </c>
      <c r="C13" s="26" t="s">
        <v>807</v>
      </c>
      <c r="D13" s="111" t="s">
        <v>2014</v>
      </c>
      <c r="E13" s="3"/>
      <c r="F13" s="3"/>
      <c r="G13" s="3"/>
      <c r="H13" s="3"/>
      <c r="I13" s="16" t="s">
        <v>1053</v>
      </c>
      <c r="J13" s="16" t="s">
        <v>1054</v>
      </c>
      <c r="K13" s="79"/>
      <c r="L13" s="80"/>
    </row>
    <row r="14" spans="1:12">
      <c r="B14" s="8">
        <v>9</v>
      </c>
      <c r="C14" s="26" t="s">
        <v>813</v>
      </c>
      <c r="D14" s="111" t="s">
        <v>2015</v>
      </c>
      <c r="E14" s="3"/>
      <c r="F14" s="3"/>
      <c r="G14" s="3"/>
      <c r="H14" s="3"/>
      <c r="I14" s="16" t="s">
        <v>1053</v>
      </c>
      <c r="J14" s="16" t="s">
        <v>1054</v>
      </c>
      <c r="K14" s="16"/>
      <c r="L14" s="3"/>
    </row>
    <row r="15" spans="1:12">
      <c r="B15" s="8">
        <v>10</v>
      </c>
      <c r="C15" s="26" t="s">
        <v>817</v>
      </c>
      <c r="D15" s="111" t="s">
        <v>2016</v>
      </c>
      <c r="E15" s="3"/>
      <c r="F15" s="3"/>
      <c r="G15" s="3"/>
      <c r="H15" s="3"/>
      <c r="I15" s="16" t="s">
        <v>1053</v>
      </c>
      <c r="J15" s="16" t="s">
        <v>1054</v>
      </c>
      <c r="K15" s="16"/>
      <c r="L15" s="3"/>
    </row>
    <row r="16" spans="1:12">
      <c r="B16" s="8">
        <v>11</v>
      </c>
      <c r="C16" s="26" t="s">
        <v>821</v>
      </c>
      <c r="D16" s="111" t="s">
        <v>2017</v>
      </c>
      <c r="E16" s="3"/>
      <c r="F16" s="3"/>
      <c r="G16" s="3"/>
      <c r="H16" s="3"/>
      <c r="I16" s="16" t="s">
        <v>1053</v>
      </c>
      <c r="J16" s="16" t="s">
        <v>1054</v>
      </c>
      <c r="K16" s="16"/>
      <c r="L16" s="3"/>
    </row>
    <row r="17" spans="1:12">
      <c r="B17" s="8">
        <v>12</v>
      </c>
      <c r="C17" s="26" t="s">
        <v>825</v>
      </c>
      <c r="D17" s="111" t="s">
        <v>2018</v>
      </c>
      <c r="E17" s="3"/>
      <c r="F17" s="3"/>
      <c r="G17" s="3"/>
      <c r="H17" s="3"/>
      <c r="I17" s="16" t="s">
        <v>1053</v>
      </c>
      <c r="J17" s="16" t="s">
        <v>1054</v>
      </c>
      <c r="K17" s="16"/>
      <c r="L17" s="3"/>
    </row>
    <row r="18" spans="1:12">
      <c r="B18" s="8">
        <v>13</v>
      </c>
      <c r="C18" s="26" t="s">
        <v>827</v>
      </c>
      <c r="D18" s="111" t="s">
        <v>2019</v>
      </c>
      <c r="E18" s="3"/>
      <c r="F18" s="3"/>
      <c r="G18" s="3"/>
      <c r="H18" s="3"/>
      <c r="I18" s="16" t="s">
        <v>1053</v>
      </c>
      <c r="J18" s="16" t="s">
        <v>1054</v>
      </c>
      <c r="K18" s="16"/>
      <c r="L18" s="3"/>
    </row>
    <row r="19" spans="1:12">
      <c r="B19" s="8">
        <v>14</v>
      </c>
      <c r="C19" s="26" t="s">
        <v>829</v>
      </c>
      <c r="D19" s="111" t="s">
        <v>2020</v>
      </c>
      <c r="E19" s="3"/>
      <c r="F19" s="3"/>
      <c r="G19" s="3"/>
      <c r="H19" s="3"/>
      <c r="I19" s="16" t="s">
        <v>1053</v>
      </c>
      <c r="J19" s="16" t="s">
        <v>1054</v>
      </c>
      <c r="K19" s="16"/>
      <c r="L19" s="3"/>
    </row>
    <row r="20" spans="1:12">
      <c r="B20" s="8">
        <v>15</v>
      </c>
      <c r="C20" s="26" t="s">
        <v>831</v>
      </c>
      <c r="D20" s="111" t="s">
        <v>2021</v>
      </c>
      <c r="E20" s="3"/>
      <c r="F20" s="3"/>
      <c r="G20" s="3"/>
      <c r="H20" s="3"/>
      <c r="I20" s="16" t="s">
        <v>1053</v>
      </c>
      <c r="J20" s="16" t="s">
        <v>1054</v>
      </c>
      <c r="K20" s="16"/>
      <c r="L20" s="3"/>
    </row>
    <row r="21" spans="1:12">
      <c r="B21" s="8">
        <v>16</v>
      </c>
      <c r="C21" s="26" t="s">
        <v>833</v>
      </c>
      <c r="D21" s="111" t="s">
        <v>2022</v>
      </c>
      <c r="E21" s="3"/>
      <c r="F21" s="3"/>
      <c r="G21" s="3"/>
      <c r="H21" s="3"/>
      <c r="I21" s="16" t="s">
        <v>1053</v>
      </c>
      <c r="J21" s="16" t="s">
        <v>1054</v>
      </c>
      <c r="K21" s="16"/>
      <c r="L21" s="3"/>
    </row>
    <row r="22" spans="1:12">
      <c r="B22" s="8">
        <v>17</v>
      </c>
      <c r="C22" s="26" t="s">
        <v>835</v>
      </c>
      <c r="D22" s="111" t="s">
        <v>2023</v>
      </c>
      <c r="E22" s="3"/>
      <c r="F22" s="3"/>
      <c r="G22" s="3"/>
      <c r="H22" s="3"/>
      <c r="I22" s="16" t="s">
        <v>1053</v>
      </c>
      <c r="J22" s="16" t="s">
        <v>1054</v>
      </c>
      <c r="K22" s="16"/>
      <c r="L22" s="3"/>
    </row>
    <row r="23" spans="1:12">
      <c r="B23" s="8">
        <v>18</v>
      </c>
      <c r="C23" s="26" t="s">
        <v>837</v>
      </c>
      <c r="D23" s="111" t="s">
        <v>2024</v>
      </c>
      <c r="E23" s="3"/>
      <c r="F23" s="3"/>
      <c r="G23" s="3"/>
      <c r="H23" s="3"/>
      <c r="I23" s="16" t="s">
        <v>1053</v>
      </c>
      <c r="J23" s="16" t="s">
        <v>2025</v>
      </c>
      <c r="K23" s="16"/>
      <c r="L23" s="3"/>
    </row>
    <row r="24" spans="1:12">
      <c r="A24" s="4"/>
      <c r="B24" s="8">
        <v>19</v>
      </c>
      <c r="C24" s="16" t="s">
        <v>2026</v>
      </c>
      <c r="D24" s="16" t="s">
        <v>1955</v>
      </c>
      <c r="E24" s="8"/>
      <c r="F24" s="8"/>
      <c r="G24" s="8"/>
      <c r="H24" s="8"/>
      <c r="I24" s="16" t="s">
        <v>1053</v>
      </c>
      <c r="J24" s="16" t="s">
        <v>2025</v>
      </c>
      <c r="K24" s="31"/>
      <c r="L24" s="8"/>
    </row>
    <row r="25" spans="1:12">
      <c r="A25" s="4"/>
      <c r="B25" s="8">
        <v>20</v>
      </c>
      <c r="C25" s="16" t="s">
        <v>841</v>
      </c>
      <c r="D25" s="16" t="s">
        <v>1956</v>
      </c>
      <c r="E25" s="8"/>
      <c r="F25" s="8"/>
      <c r="G25" s="8"/>
      <c r="H25" s="8"/>
      <c r="I25" s="16" t="s">
        <v>1053</v>
      </c>
      <c r="J25" s="16" t="s">
        <v>2025</v>
      </c>
      <c r="K25" s="31"/>
      <c r="L25" s="8"/>
    </row>
    <row r="26" spans="1:12">
      <c r="A26" s="4"/>
      <c r="B26" s="8">
        <v>21</v>
      </c>
      <c r="C26" s="16" t="s">
        <v>843</v>
      </c>
      <c r="D26" s="16" t="s">
        <v>1957</v>
      </c>
      <c r="E26" s="8"/>
      <c r="F26" s="8"/>
      <c r="G26" s="8"/>
      <c r="H26" s="8"/>
      <c r="I26" s="16" t="s">
        <v>1053</v>
      </c>
      <c r="J26" s="16" t="s">
        <v>2025</v>
      </c>
      <c r="K26" s="31"/>
      <c r="L26" s="8"/>
    </row>
    <row r="27" spans="1:12">
      <c r="A27" s="4"/>
      <c r="B27" s="8">
        <v>22</v>
      </c>
      <c r="C27" s="16" t="s">
        <v>845</v>
      </c>
      <c r="D27" s="16" t="s">
        <v>1958</v>
      </c>
      <c r="E27" s="8"/>
      <c r="F27" s="8"/>
      <c r="G27" s="8"/>
      <c r="H27" s="8"/>
      <c r="I27" s="16" t="s">
        <v>1053</v>
      </c>
      <c r="J27" s="16" t="s">
        <v>2025</v>
      </c>
      <c r="K27" s="31"/>
      <c r="L27" s="8"/>
    </row>
    <row r="28" spans="1:12">
      <c r="A28" s="4"/>
      <c r="B28" s="8">
        <v>23</v>
      </c>
      <c r="C28" s="16" t="s">
        <v>847</v>
      </c>
      <c r="D28" s="16" t="s">
        <v>1959</v>
      </c>
      <c r="E28" s="8"/>
      <c r="F28" s="8"/>
      <c r="G28" s="8"/>
      <c r="H28" s="8"/>
      <c r="I28" s="16" t="s">
        <v>1053</v>
      </c>
      <c r="J28" s="16" t="s">
        <v>2025</v>
      </c>
      <c r="K28" s="31"/>
      <c r="L28" s="8"/>
    </row>
    <row r="29" spans="1:12">
      <c r="A29" s="4"/>
      <c r="B29" s="8">
        <v>24</v>
      </c>
      <c r="C29" s="16" t="s">
        <v>849</v>
      </c>
      <c r="D29" s="16" t="s">
        <v>1960</v>
      </c>
      <c r="E29" s="8"/>
      <c r="F29" s="8"/>
      <c r="G29" s="8"/>
      <c r="H29" s="8"/>
      <c r="I29" s="16" t="s">
        <v>1053</v>
      </c>
      <c r="J29" s="16" t="s">
        <v>2025</v>
      </c>
      <c r="K29" s="31"/>
      <c r="L29" s="8"/>
    </row>
    <row r="30" spans="1:12">
      <c r="A30" s="4"/>
      <c r="B30" s="8">
        <v>25</v>
      </c>
      <c r="C30" s="16" t="s">
        <v>851</v>
      </c>
      <c r="D30" s="16" t="s">
        <v>1961</v>
      </c>
      <c r="E30" s="8"/>
      <c r="F30" s="8"/>
      <c r="G30" s="8"/>
      <c r="H30" s="8"/>
      <c r="I30" s="16" t="s">
        <v>1053</v>
      </c>
      <c r="J30" s="16" t="s">
        <v>2025</v>
      </c>
      <c r="K30" s="31"/>
      <c r="L30" s="8"/>
    </row>
    <row r="31" spans="1:12">
      <c r="A31" s="4"/>
      <c r="B31" s="8">
        <v>26</v>
      </c>
      <c r="C31" s="16" t="s">
        <v>853</v>
      </c>
      <c r="D31" s="16" t="s">
        <v>1962</v>
      </c>
      <c r="E31" s="8"/>
      <c r="F31" s="8"/>
      <c r="G31" s="8"/>
      <c r="H31" s="8"/>
      <c r="I31" s="16" t="s">
        <v>1053</v>
      </c>
      <c r="J31" s="16" t="s">
        <v>2025</v>
      </c>
      <c r="K31" s="31"/>
      <c r="L31" s="8"/>
    </row>
    <row r="32" spans="1:12">
      <c r="A32" s="4"/>
      <c r="B32" s="8">
        <v>27</v>
      </c>
      <c r="C32" s="16" t="s">
        <v>855</v>
      </c>
      <c r="D32" s="16" t="s">
        <v>1052</v>
      </c>
      <c r="E32" s="8"/>
      <c r="F32" s="8"/>
      <c r="G32" s="8"/>
      <c r="H32" s="8"/>
      <c r="I32" s="16" t="s">
        <v>1053</v>
      </c>
      <c r="J32" s="16" t="s">
        <v>2025</v>
      </c>
      <c r="K32" s="31"/>
      <c r="L32" s="8"/>
    </row>
    <row r="33" spans="1:12">
      <c r="A33" s="4"/>
      <c r="B33" s="8">
        <v>28</v>
      </c>
      <c r="C33" s="16" t="s">
        <v>857</v>
      </c>
      <c r="D33" s="16" t="s">
        <v>1963</v>
      </c>
      <c r="E33" s="8"/>
      <c r="F33" s="8"/>
      <c r="G33" s="8"/>
      <c r="H33" s="8"/>
      <c r="I33" s="16" t="s">
        <v>1053</v>
      </c>
      <c r="J33" s="16" t="s">
        <v>2025</v>
      </c>
      <c r="K33" s="31"/>
      <c r="L33" s="8"/>
    </row>
    <row r="34" spans="1:12">
      <c r="A34" s="4"/>
      <c r="B34" s="8">
        <v>29</v>
      </c>
      <c r="C34" s="16" t="s">
        <v>859</v>
      </c>
      <c r="D34" s="16" t="s">
        <v>1964</v>
      </c>
      <c r="E34" s="8"/>
      <c r="F34" s="8"/>
      <c r="G34" s="8"/>
      <c r="H34" s="8"/>
      <c r="I34" s="16" t="s">
        <v>1053</v>
      </c>
      <c r="J34" s="16" t="s">
        <v>2025</v>
      </c>
      <c r="K34" s="31"/>
      <c r="L34" s="8"/>
    </row>
    <row r="35" spans="1:12">
      <c r="B35" s="8">
        <v>30</v>
      </c>
      <c r="C35" s="16" t="s">
        <v>861</v>
      </c>
      <c r="D35" s="16" t="s">
        <v>1965</v>
      </c>
      <c r="E35" s="16"/>
      <c r="F35" s="16"/>
      <c r="G35" s="16"/>
      <c r="H35" s="16"/>
      <c r="I35" s="16" t="s">
        <v>1053</v>
      </c>
      <c r="J35" s="16" t="s">
        <v>1054</v>
      </c>
      <c r="K35" s="16" t="s">
        <v>2027</v>
      </c>
      <c r="L35" s="16"/>
    </row>
    <row r="36" spans="1:12">
      <c r="B36" s="8">
        <v>31</v>
      </c>
      <c r="C36" s="16" t="s">
        <v>2028</v>
      </c>
      <c r="D36" s="16" t="s">
        <v>1966</v>
      </c>
      <c r="E36" s="16"/>
      <c r="F36" s="16"/>
      <c r="G36" s="16"/>
      <c r="H36" s="16"/>
      <c r="I36" s="16" t="s">
        <v>1053</v>
      </c>
      <c r="J36" s="16" t="s">
        <v>1054</v>
      </c>
      <c r="K36" s="16" t="s">
        <v>1094</v>
      </c>
      <c r="L36" s="16"/>
    </row>
    <row r="37" spans="1:12">
      <c r="B37" s="8">
        <v>32</v>
      </c>
      <c r="C37" s="16" t="s">
        <v>865</v>
      </c>
      <c r="D37" s="16" t="s">
        <v>1967</v>
      </c>
      <c r="E37" s="16"/>
      <c r="F37" s="16"/>
      <c r="G37" s="16"/>
      <c r="H37" s="16"/>
      <c r="I37" s="16" t="s">
        <v>1053</v>
      </c>
      <c r="J37" s="16" t="s">
        <v>1054</v>
      </c>
      <c r="K37" s="16" t="s">
        <v>1094</v>
      </c>
      <c r="L37" s="16"/>
    </row>
    <row r="38" spans="1:12">
      <c r="B38" s="8">
        <v>33</v>
      </c>
      <c r="C38" s="16" t="s">
        <v>867</v>
      </c>
      <c r="D38" s="16" t="s">
        <v>1968</v>
      </c>
      <c r="E38" s="16"/>
      <c r="F38" s="16"/>
      <c r="G38" s="16"/>
      <c r="H38" s="16"/>
      <c r="I38" s="16" t="s">
        <v>1053</v>
      </c>
      <c r="J38" s="16" t="s">
        <v>1054</v>
      </c>
      <c r="K38" s="16" t="s">
        <v>1094</v>
      </c>
      <c r="L38" s="16"/>
    </row>
    <row r="39" spans="1:12">
      <c r="B39" s="8">
        <v>34</v>
      </c>
      <c r="C39" s="16" t="s">
        <v>869</v>
      </c>
      <c r="D39" s="16" t="s">
        <v>1969</v>
      </c>
      <c r="E39" s="16"/>
      <c r="F39" s="16"/>
      <c r="G39" s="16"/>
      <c r="H39" s="16"/>
      <c r="I39" s="16" t="s">
        <v>1053</v>
      </c>
      <c r="J39" s="16" t="s">
        <v>1054</v>
      </c>
      <c r="K39" s="16" t="s">
        <v>1094</v>
      </c>
      <c r="L39" s="16"/>
    </row>
    <row r="40" spans="1:12">
      <c r="B40" s="8">
        <v>35</v>
      </c>
      <c r="C40" s="16" t="s">
        <v>871</v>
      </c>
      <c r="D40" s="16" t="s">
        <v>1970</v>
      </c>
      <c r="E40" s="16"/>
      <c r="F40" s="16"/>
      <c r="G40" s="16"/>
      <c r="H40" s="16"/>
      <c r="I40" s="16" t="s">
        <v>1053</v>
      </c>
      <c r="J40" s="16" t="s">
        <v>1054</v>
      </c>
      <c r="K40" s="16" t="s">
        <v>1094</v>
      </c>
      <c r="L40" s="16"/>
    </row>
    <row r="41" spans="1:12">
      <c r="B41" s="8">
        <v>36</v>
      </c>
      <c r="C41" s="16" t="s">
        <v>873</v>
      </c>
      <c r="D41" s="16" t="s">
        <v>1971</v>
      </c>
      <c r="E41" s="16"/>
      <c r="F41" s="16"/>
      <c r="G41" s="16"/>
      <c r="H41" s="16"/>
      <c r="I41" s="16" t="s">
        <v>1053</v>
      </c>
      <c r="J41" s="16" t="s">
        <v>1054</v>
      </c>
      <c r="K41" s="16" t="s">
        <v>1094</v>
      </c>
      <c r="L41" s="16"/>
    </row>
    <row r="42" spans="1:12">
      <c r="B42" s="8">
        <v>37</v>
      </c>
      <c r="C42" s="16" t="s">
        <v>875</v>
      </c>
      <c r="D42" s="16" t="s">
        <v>1972</v>
      </c>
      <c r="E42" s="16"/>
      <c r="F42" s="16"/>
      <c r="G42" s="16"/>
      <c r="H42" s="16"/>
      <c r="I42" s="16" t="s">
        <v>1053</v>
      </c>
      <c r="J42" s="16" t="s">
        <v>1054</v>
      </c>
      <c r="K42" s="16" t="s">
        <v>1094</v>
      </c>
      <c r="L42" s="16"/>
    </row>
    <row r="43" spans="1:12">
      <c r="B43" s="8">
        <v>38</v>
      </c>
      <c r="C43" s="16" t="s">
        <v>877</v>
      </c>
      <c r="D43" s="16" t="s">
        <v>1973</v>
      </c>
      <c r="E43" s="16"/>
      <c r="F43" s="16"/>
      <c r="G43" s="16"/>
      <c r="H43" s="16"/>
      <c r="I43" s="16" t="s">
        <v>1053</v>
      </c>
      <c r="J43" s="16" t="s">
        <v>1054</v>
      </c>
      <c r="K43" s="16" t="s">
        <v>1094</v>
      </c>
      <c r="L43" s="16"/>
    </row>
    <row r="44" spans="1:12">
      <c r="B44" s="8">
        <v>39</v>
      </c>
      <c r="C44" s="16" t="s">
        <v>879</v>
      </c>
      <c r="D44" s="16" t="s">
        <v>1974</v>
      </c>
      <c r="E44" s="16"/>
      <c r="F44" s="16"/>
      <c r="G44" s="16"/>
      <c r="H44" s="16"/>
      <c r="I44" s="16" t="s">
        <v>1053</v>
      </c>
      <c r="J44" s="16" t="s">
        <v>1054</v>
      </c>
      <c r="K44" s="16" t="s">
        <v>1094</v>
      </c>
      <c r="L44" s="16"/>
    </row>
    <row r="45" spans="1:12">
      <c r="B45" s="8">
        <v>40</v>
      </c>
      <c r="C45" s="16" t="s">
        <v>881</v>
      </c>
      <c r="D45" s="16" t="s">
        <v>1975</v>
      </c>
      <c r="E45" s="16"/>
      <c r="F45" s="16"/>
      <c r="G45" s="16"/>
      <c r="H45" s="16"/>
      <c r="I45" s="16" t="s">
        <v>1053</v>
      </c>
      <c r="J45" s="16" t="s">
        <v>1054</v>
      </c>
      <c r="K45" s="16" t="s">
        <v>1094</v>
      </c>
      <c r="L45" s="16"/>
    </row>
    <row r="46" spans="1:12">
      <c r="B46" s="8">
        <v>41</v>
      </c>
      <c r="C46" s="16" t="s">
        <v>883</v>
      </c>
      <c r="D46" s="16" t="s">
        <v>1976</v>
      </c>
      <c r="E46" s="16"/>
      <c r="F46" s="16"/>
      <c r="G46" s="16"/>
      <c r="H46" s="16"/>
      <c r="I46" s="16" t="s">
        <v>1053</v>
      </c>
      <c r="J46" s="16" t="s">
        <v>1054</v>
      </c>
      <c r="K46" s="16" t="s">
        <v>1094</v>
      </c>
      <c r="L46" s="16"/>
    </row>
    <row r="47" spans="1:12">
      <c r="B47" s="8">
        <v>42</v>
      </c>
      <c r="C47" s="16" t="s">
        <v>885</v>
      </c>
      <c r="D47" s="16" t="s">
        <v>1977</v>
      </c>
      <c r="E47" s="16"/>
      <c r="F47" s="16"/>
      <c r="G47" s="16"/>
      <c r="H47" s="16"/>
      <c r="I47" s="16" t="s">
        <v>1053</v>
      </c>
      <c r="J47" s="16" t="s">
        <v>1054</v>
      </c>
      <c r="K47" s="16" t="s">
        <v>1094</v>
      </c>
      <c r="L47" s="16"/>
    </row>
    <row r="48" spans="1:12">
      <c r="B48" s="8">
        <v>43</v>
      </c>
      <c r="C48" s="16" t="s">
        <v>1978</v>
      </c>
      <c r="D48" s="16" t="s">
        <v>1979</v>
      </c>
      <c r="E48" s="3"/>
      <c r="F48" s="3"/>
      <c r="G48" s="3"/>
      <c r="H48" s="3"/>
      <c r="I48" s="16" t="s">
        <v>1053</v>
      </c>
      <c r="J48" s="16" t="s">
        <v>1054</v>
      </c>
      <c r="K48" s="16" t="s">
        <v>2029</v>
      </c>
      <c r="L48" s="3"/>
    </row>
    <row r="49" spans="2:12">
      <c r="B49" s="8">
        <v>44</v>
      </c>
      <c r="C49" s="16" t="s">
        <v>1980</v>
      </c>
      <c r="D49" s="16" t="s">
        <v>1981</v>
      </c>
      <c r="E49" s="3"/>
      <c r="F49" s="3"/>
      <c r="G49" s="3"/>
      <c r="H49" s="3"/>
      <c r="I49" s="16" t="s">
        <v>1053</v>
      </c>
      <c r="J49" s="16" t="s">
        <v>1054</v>
      </c>
      <c r="K49" s="16" t="s">
        <v>2029</v>
      </c>
      <c r="L49" s="3"/>
    </row>
    <row r="50" spans="2:12">
      <c r="B50" s="8">
        <v>45</v>
      </c>
      <c r="C50" s="16" t="s">
        <v>1982</v>
      </c>
      <c r="D50" s="16" t="s">
        <v>1983</v>
      </c>
      <c r="E50" s="3"/>
      <c r="F50" s="3"/>
      <c r="G50" s="3"/>
      <c r="H50" s="3"/>
      <c r="I50" s="16" t="s">
        <v>1053</v>
      </c>
      <c r="J50" s="16" t="s">
        <v>1054</v>
      </c>
      <c r="K50" s="16" t="s">
        <v>2029</v>
      </c>
      <c r="L50" s="3"/>
    </row>
    <row r="51" spans="2:12">
      <c r="B51" s="8">
        <v>46</v>
      </c>
      <c r="C51" s="16" t="s">
        <v>1984</v>
      </c>
      <c r="D51" s="16" t="s">
        <v>1985</v>
      </c>
      <c r="E51" s="3"/>
      <c r="F51" s="3"/>
      <c r="G51" s="3"/>
      <c r="H51" s="3"/>
      <c r="I51" s="16" t="s">
        <v>1053</v>
      </c>
      <c r="J51" s="16" t="s">
        <v>1054</v>
      </c>
      <c r="K51" s="16" t="s">
        <v>2029</v>
      </c>
      <c r="L51" s="3"/>
    </row>
    <row r="52" spans="2:12">
      <c r="B52" s="8">
        <v>47</v>
      </c>
      <c r="C52" s="16" t="s">
        <v>1986</v>
      </c>
      <c r="D52" s="16" t="s">
        <v>1987</v>
      </c>
      <c r="E52" s="3"/>
      <c r="F52" s="3"/>
      <c r="G52" s="3"/>
      <c r="H52" s="3"/>
      <c r="I52" s="16" t="s">
        <v>1053</v>
      </c>
      <c r="J52" s="16" t="s">
        <v>1054</v>
      </c>
      <c r="K52" s="16" t="s">
        <v>2029</v>
      </c>
      <c r="L52" s="3"/>
    </row>
    <row r="53" spans="2:12">
      <c r="B53" s="8">
        <v>48</v>
      </c>
      <c r="C53" s="16" t="s">
        <v>1988</v>
      </c>
      <c r="D53" s="16" t="s">
        <v>1989</v>
      </c>
      <c r="E53" s="3"/>
      <c r="F53" s="3"/>
      <c r="G53" s="3"/>
      <c r="H53" s="3"/>
      <c r="I53" s="16" t="s">
        <v>1053</v>
      </c>
      <c r="J53" s="16" t="s">
        <v>1054</v>
      </c>
      <c r="K53" s="16" t="s">
        <v>2029</v>
      </c>
      <c r="L53" s="3"/>
    </row>
    <row r="54" spans="2:12">
      <c r="B54" s="8">
        <v>49</v>
      </c>
      <c r="C54" s="16" t="s">
        <v>1990</v>
      </c>
      <c r="D54" s="16" t="s">
        <v>1991</v>
      </c>
      <c r="E54" s="3"/>
      <c r="F54" s="3"/>
      <c r="G54" s="3"/>
      <c r="H54" s="3"/>
      <c r="I54" s="16" t="s">
        <v>1053</v>
      </c>
      <c r="J54" s="16" t="s">
        <v>1054</v>
      </c>
      <c r="K54" s="16" t="s">
        <v>2029</v>
      </c>
      <c r="L54" s="3"/>
    </row>
    <row r="55" spans="2:12">
      <c r="B55" s="8">
        <v>50</v>
      </c>
      <c r="C55" s="16" t="s">
        <v>1992</v>
      </c>
      <c r="D55" s="16" t="s">
        <v>1993</v>
      </c>
      <c r="E55" s="3"/>
      <c r="F55" s="3"/>
      <c r="G55" s="3"/>
      <c r="H55" s="3"/>
      <c r="I55" s="16" t="s">
        <v>1053</v>
      </c>
      <c r="J55" s="16" t="s">
        <v>1054</v>
      </c>
      <c r="K55" s="16" t="s">
        <v>2029</v>
      </c>
      <c r="L55" s="3"/>
    </row>
    <row r="56" spans="2:12">
      <c r="B56" s="8">
        <v>51</v>
      </c>
      <c r="C56" s="16" t="s">
        <v>1994</v>
      </c>
      <c r="D56" s="16" t="s">
        <v>1995</v>
      </c>
      <c r="E56" s="3"/>
      <c r="F56" s="3"/>
      <c r="G56" s="3"/>
      <c r="H56" s="3"/>
      <c r="I56" s="16" t="s">
        <v>1053</v>
      </c>
      <c r="J56" s="16" t="s">
        <v>1054</v>
      </c>
      <c r="K56" s="16" t="s">
        <v>2029</v>
      </c>
      <c r="L56" s="3"/>
    </row>
    <row r="57" spans="2:12">
      <c r="B57" s="8">
        <v>52</v>
      </c>
      <c r="C57" s="16" t="s">
        <v>1996</v>
      </c>
      <c r="D57" s="16" t="s">
        <v>1997</v>
      </c>
      <c r="E57" s="3"/>
      <c r="F57" s="3"/>
      <c r="G57" s="3"/>
      <c r="H57" s="3"/>
      <c r="I57" s="16" t="s">
        <v>1053</v>
      </c>
      <c r="J57" s="16" t="s">
        <v>1054</v>
      </c>
      <c r="K57" s="16" t="s">
        <v>2029</v>
      </c>
      <c r="L57" s="3"/>
    </row>
    <row r="58" spans="2:12">
      <c r="B58" s="8">
        <v>53</v>
      </c>
      <c r="C58" s="16" t="s">
        <v>1998</v>
      </c>
      <c r="D58" s="16" t="s">
        <v>1999</v>
      </c>
      <c r="E58" s="3"/>
      <c r="F58" s="3"/>
      <c r="G58" s="3"/>
      <c r="H58" s="3"/>
      <c r="I58" s="16" t="s">
        <v>1053</v>
      </c>
      <c r="J58" s="16" t="s">
        <v>1054</v>
      </c>
      <c r="K58" s="16" t="s">
        <v>2029</v>
      </c>
      <c r="L58" s="3"/>
    </row>
    <row r="59" spans="2:12">
      <c r="B59" s="8">
        <v>54</v>
      </c>
      <c r="C59" s="16" t="s">
        <v>2000</v>
      </c>
      <c r="D59" s="16" t="s">
        <v>2001</v>
      </c>
      <c r="E59" s="3"/>
      <c r="F59" s="3"/>
      <c r="G59" s="3"/>
      <c r="H59" s="3"/>
      <c r="I59" s="16" t="s">
        <v>1053</v>
      </c>
      <c r="J59" s="16" t="s">
        <v>1054</v>
      </c>
      <c r="K59" s="16" t="s">
        <v>2029</v>
      </c>
      <c r="L59" s="3"/>
    </row>
    <row r="60" spans="2:12">
      <c r="B60" s="8">
        <v>55</v>
      </c>
      <c r="C60" s="20" t="s">
        <v>950</v>
      </c>
      <c r="D60" s="20" t="s">
        <v>28</v>
      </c>
      <c r="E60" s="20" t="s">
        <v>1072</v>
      </c>
      <c r="F60" s="20" t="s">
        <v>1072</v>
      </c>
      <c r="G60" s="20" t="s">
        <v>1072</v>
      </c>
      <c r="H60" s="20" t="s">
        <v>1072</v>
      </c>
      <c r="I60" s="20" t="s">
        <v>951</v>
      </c>
      <c r="J60" s="20"/>
      <c r="K60" s="30" t="s">
        <v>1511</v>
      </c>
      <c r="L60" s="44" t="s">
        <v>1072</v>
      </c>
    </row>
    <row r="61" spans="2:12">
      <c r="B61" s="8">
        <v>56</v>
      </c>
      <c r="C61" s="20" t="s">
        <v>998</v>
      </c>
      <c r="D61" s="20" t="s">
        <v>38</v>
      </c>
      <c r="E61" s="20" t="s">
        <v>1072</v>
      </c>
      <c r="F61" s="20" t="s">
        <v>1072</v>
      </c>
      <c r="G61" s="20" t="s">
        <v>1072</v>
      </c>
      <c r="H61" s="20" t="s">
        <v>1072</v>
      </c>
      <c r="I61" s="20" t="s">
        <v>951</v>
      </c>
      <c r="J61" s="20"/>
      <c r="K61" s="30" t="s">
        <v>1511</v>
      </c>
      <c r="L61" s="44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80A4AB75-E269-452E-89CA-F37EB3F80678}"/>
  </hyperlink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83E26-F999-4EAD-AB29-0BAEE672AD86}">
  <sheetPr codeName="Sheet52">
    <tabColor rgb="FF0066FF"/>
  </sheetPr>
  <dimension ref="A1:L38"/>
  <sheetViews>
    <sheetView zoomScale="85" zoomScaleNormal="85" workbookViewId="0">
      <selection activeCell="G12" sqref="G12"/>
    </sheetView>
  </sheetViews>
  <sheetFormatPr defaultRowHeight="16.5"/>
  <cols>
    <col min="2" max="2" width="6.875" bestFit="1" customWidth="1"/>
    <col min="3" max="3" width="16.5" bestFit="1" customWidth="1"/>
    <col min="4" max="4" width="34" bestFit="1" customWidth="1"/>
    <col min="5" max="5" width="3.75" bestFit="1" customWidth="1"/>
    <col min="6" max="6" width="3.75" customWidth="1"/>
    <col min="7" max="7" width="40.125" bestFit="1" customWidth="1"/>
    <col min="8" max="8" width="10.5" bestFit="1" customWidth="1"/>
    <col min="9" max="9" width="11.625" bestFit="1" customWidth="1"/>
    <col min="10" max="10" width="8.5" bestFit="1" customWidth="1"/>
    <col min="11" max="11" width="102.5" bestFit="1" customWidth="1"/>
    <col min="12" max="12" width="34.625" customWidth="1"/>
  </cols>
  <sheetData>
    <row r="1" spans="1:12" ht="20.25">
      <c r="A1" s="4"/>
      <c r="B1" s="258" t="s">
        <v>1492</v>
      </c>
      <c r="D1" s="482" t="s">
        <v>2758</v>
      </c>
      <c r="E1" s="482"/>
      <c r="F1" s="482"/>
      <c r="G1" s="482"/>
      <c r="H1" s="482"/>
      <c r="I1" s="482"/>
      <c r="J1" s="482"/>
      <c r="K1" s="482"/>
      <c r="L1" s="482"/>
    </row>
    <row r="2" spans="1:12">
      <c r="A2" s="510"/>
      <c r="B2" s="510"/>
      <c r="C2" s="4"/>
      <c r="D2" s="4"/>
      <c r="E2" s="4"/>
      <c r="F2" s="4"/>
      <c r="G2" s="4"/>
      <c r="H2" s="4"/>
      <c r="I2" s="4"/>
      <c r="J2" s="4"/>
      <c r="K2" s="4"/>
      <c r="L2" s="6"/>
    </row>
    <row r="3" spans="1:12">
      <c r="A3" s="4"/>
      <c r="B3" s="483" t="s">
        <v>1493</v>
      </c>
      <c r="C3" s="494"/>
      <c r="D3" s="494" t="s">
        <v>2759</v>
      </c>
      <c r="E3" s="495"/>
      <c r="F3" s="495"/>
      <c r="G3" s="496"/>
      <c r="H3" s="495" t="s">
        <v>2760</v>
      </c>
      <c r="I3" s="495"/>
      <c r="J3" s="496"/>
      <c r="K3" s="11"/>
      <c r="L3" s="11"/>
    </row>
    <row r="4" spans="1:12">
      <c r="A4" s="4"/>
      <c r="B4" s="483" t="s">
        <v>1231</v>
      </c>
      <c r="C4" s="494"/>
      <c r="D4" s="498" t="s">
        <v>1210</v>
      </c>
      <c r="E4" s="498"/>
      <c r="F4" s="498"/>
      <c r="G4" s="498"/>
      <c r="H4" s="498"/>
      <c r="I4" s="498"/>
      <c r="J4" s="498"/>
      <c r="K4" s="11"/>
      <c r="L4" s="11"/>
    </row>
    <row r="5" spans="1:12">
      <c r="A5" s="4"/>
      <c r="B5" s="7" t="s">
        <v>1494</v>
      </c>
      <c r="C5" s="7" t="s">
        <v>14</v>
      </c>
      <c r="D5" s="10" t="s">
        <v>15</v>
      </c>
      <c r="E5" s="10" t="s">
        <v>928</v>
      </c>
      <c r="F5" s="10" t="s">
        <v>929</v>
      </c>
      <c r="G5" s="10" t="s">
        <v>930</v>
      </c>
      <c r="H5" s="10" t="s">
        <v>931</v>
      </c>
      <c r="I5" s="10" t="s">
        <v>932</v>
      </c>
      <c r="J5" s="24" t="s">
        <v>933</v>
      </c>
      <c r="K5" s="7" t="s">
        <v>934</v>
      </c>
      <c r="L5" s="7" t="s">
        <v>935</v>
      </c>
    </row>
    <row r="6" spans="1:12">
      <c r="A6" s="4"/>
      <c r="B6" s="110">
        <v>1</v>
      </c>
      <c r="C6" s="72" t="s">
        <v>270</v>
      </c>
      <c r="D6" s="13" t="s">
        <v>2003</v>
      </c>
      <c r="E6" s="8" t="s">
        <v>1065</v>
      </c>
      <c r="F6" s="8"/>
      <c r="G6" s="8"/>
      <c r="H6" s="8" t="s">
        <v>1065</v>
      </c>
      <c r="I6" s="72" t="s">
        <v>947</v>
      </c>
      <c r="J6" s="146">
        <v>4</v>
      </c>
      <c r="K6" s="139" t="s">
        <v>2723</v>
      </c>
      <c r="L6" s="237">
        <v>2024</v>
      </c>
    </row>
    <row r="7" spans="1:12">
      <c r="A7" s="4"/>
      <c r="B7" s="110">
        <v>2</v>
      </c>
      <c r="C7" s="109" t="s">
        <v>274</v>
      </c>
      <c r="D7" s="14" t="s">
        <v>1913</v>
      </c>
      <c r="E7" s="8" t="s">
        <v>1065</v>
      </c>
      <c r="F7" s="8"/>
      <c r="G7" s="8"/>
      <c r="H7" s="8" t="s">
        <v>1065</v>
      </c>
      <c r="I7" s="72" t="s">
        <v>947</v>
      </c>
      <c r="J7" s="147">
        <v>2</v>
      </c>
      <c r="K7" s="31" t="s">
        <v>2724</v>
      </c>
      <c r="L7" s="238">
        <v>7</v>
      </c>
    </row>
    <row r="8" spans="1:12">
      <c r="A8" s="4"/>
      <c r="B8" s="110">
        <v>3</v>
      </c>
      <c r="C8" s="109" t="s">
        <v>122</v>
      </c>
      <c r="D8" s="14" t="s">
        <v>1691</v>
      </c>
      <c r="E8" s="8" t="s">
        <v>1065</v>
      </c>
      <c r="F8" s="8" t="s">
        <v>1065</v>
      </c>
      <c r="G8" s="8" t="s">
        <v>1886</v>
      </c>
      <c r="H8" s="8" t="s">
        <v>1065</v>
      </c>
      <c r="I8" s="25" t="s">
        <v>947</v>
      </c>
      <c r="J8" s="25">
        <v>10</v>
      </c>
      <c r="K8" s="31"/>
      <c r="L8" s="239" t="s">
        <v>2761</v>
      </c>
    </row>
    <row r="9" spans="1:12">
      <c r="A9" s="4"/>
      <c r="B9" s="110">
        <v>4</v>
      </c>
      <c r="C9" s="25" t="s">
        <v>2736</v>
      </c>
      <c r="D9" s="240" t="s">
        <v>2762</v>
      </c>
      <c r="E9" s="8"/>
      <c r="F9" s="8"/>
      <c r="G9" s="8"/>
      <c r="H9" s="22"/>
      <c r="I9" s="25" t="s">
        <v>1053</v>
      </c>
      <c r="J9" s="25" t="s">
        <v>1054</v>
      </c>
      <c r="K9" s="51" t="s">
        <v>2763</v>
      </c>
      <c r="L9" s="241">
        <v>100.32</v>
      </c>
    </row>
    <row r="10" spans="1:12">
      <c r="A10" s="4"/>
      <c r="B10" s="110">
        <v>5</v>
      </c>
      <c r="C10" s="25" t="s">
        <v>2764</v>
      </c>
      <c r="D10" s="240" t="s">
        <v>2765</v>
      </c>
      <c r="E10" s="8"/>
      <c r="F10" s="8"/>
      <c r="G10" s="8"/>
      <c r="H10" s="22"/>
      <c r="I10" s="25" t="s">
        <v>1053</v>
      </c>
      <c r="J10" s="25" t="s">
        <v>1054</v>
      </c>
      <c r="K10" s="51" t="s">
        <v>2763</v>
      </c>
      <c r="L10" s="242"/>
    </row>
    <row r="11" spans="1:12">
      <c r="A11" s="4"/>
      <c r="B11" s="110">
        <v>6</v>
      </c>
      <c r="C11" s="25" t="s">
        <v>529</v>
      </c>
      <c r="D11" s="240" t="s">
        <v>2766</v>
      </c>
      <c r="E11" s="8"/>
      <c r="F11" s="8"/>
      <c r="G11" s="8"/>
      <c r="H11" s="22"/>
      <c r="I11" s="25" t="s">
        <v>1053</v>
      </c>
      <c r="J11" s="25" t="s">
        <v>1054</v>
      </c>
      <c r="K11" s="51" t="s">
        <v>2763</v>
      </c>
      <c r="L11" s="243" t="s">
        <v>1072</v>
      </c>
    </row>
    <row r="12" spans="1:12">
      <c r="A12" s="4"/>
      <c r="B12" s="110">
        <v>7</v>
      </c>
      <c r="C12" s="25" t="s">
        <v>531</v>
      </c>
      <c r="D12" s="240" t="s">
        <v>2767</v>
      </c>
      <c r="E12" s="8"/>
      <c r="F12" s="8"/>
      <c r="G12" s="8"/>
      <c r="H12" s="22"/>
      <c r="I12" s="25" t="s">
        <v>1053</v>
      </c>
      <c r="J12" s="25" t="s">
        <v>1054</v>
      </c>
      <c r="K12" s="51" t="s">
        <v>2763</v>
      </c>
      <c r="L12" s="243" t="s">
        <v>1072</v>
      </c>
    </row>
    <row r="13" spans="1:12">
      <c r="A13" s="4"/>
      <c r="B13" s="110">
        <v>8</v>
      </c>
      <c r="C13" s="25" t="s">
        <v>533</v>
      </c>
      <c r="D13" s="240" t="s">
        <v>2768</v>
      </c>
      <c r="E13" s="8"/>
      <c r="F13" s="8"/>
      <c r="G13" s="8"/>
      <c r="H13" s="22"/>
      <c r="I13" s="25" t="s">
        <v>1053</v>
      </c>
      <c r="J13" s="25" t="s">
        <v>1054</v>
      </c>
      <c r="K13" s="51" t="s">
        <v>2763</v>
      </c>
      <c r="L13" s="243" t="s">
        <v>1072</v>
      </c>
    </row>
    <row r="14" spans="1:12">
      <c r="A14" s="4"/>
      <c r="B14" s="110">
        <v>9</v>
      </c>
      <c r="C14" s="25" t="s">
        <v>535</v>
      </c>
      <c r="D14" s="240" t="s">
        <v>2769</v>
      </c>
      <c r="E14" s="8"/>
      <c r="F14" s="8"/>
      <c r="G14" s="8"/>
      <c r="H14" s="22"/>
      <c r="I14" s="25" t="s">
        <v>1053</v>
      </c>
      <c r="J14" s="25" t="s">
        <v>1054</v>
      </c>
      <c r="K14" s="51" t="s">
        <v>2763</v>
      </c>
      <c r="L14" s="243" t="s">
        <v>1072</v>
      </c>
    </row>
    <row r="15" spans="1:12">
      <c r="A15" s="4"/>
      <c r="B15" s="110">
        <v>10</v>
      </c>
      <c r="C15" s="25" t="s">
        <v>537</v>
      </c>
      <c r="D15" s="240" t="s">
        <v>2770</v>
      </c>
      <c r="E15" s="8"/>
      <c r="F15" s="8"/>
      <c r="G15" s="8"/>
      <c r="H15" s="22"/>
      <c r="I15" s="25" t="s">
        <v>1053</v>
      </c>
      <c r="J15" s="25" t="s">
        <v>1054</v>
      </c>
      <c r="K15" s="51" t="s">
        <v>2763</v>
      </c>
      <c r="L15" s="243" t="s">
        <v>1072</v>
      </c>
    </row>
    <row r="16" spans="1:12">
      <c r="A16" s="4"/>
      <c r="B16" s="110">
        <v>11</v>
      </c>
      <c r="C16" s="25" t="s">
        <v>539</v>
      </c>
      <c r="D16" s="240" t="s">
        <v>2771</v>
      </c>
      <c r="E16" s="8"/>
      <c r="F16" s="8"/>
      <c r="G16" s="8"/>
      <c r="H16" s="22"/>
      <c r="I16" s="25" t="s">
        <v>1053</v>
      </c>
      <c r="J16" s="25" t="s">
        <v>1054</v>
      </c>
      <c r="K16" s="51" t="s">
        <v>2763</v>
      </c>
      <c r="L16" s="243" t="s">
        <v>1072</v>
      </c>
    </row>
    <row r="17" spans="1:12">
      <c r="A17" s="4"/>
      <c r="B17" s="110">
        <v>12</v>
      </c>
      <c r="C17" s="25" t="s">
        <v>541</v>
      </c>
      <c r="D17" s="240" t="s">
        <v>2772</v>
      </c>
      <c r="E17" s="8"/>
      <c r="F17" s="8"/>
      <c r="G17" s="8"/>
      <c r="H17" s="22"/>
      <c r="I17" s="25" t="s">
        <v>1053</v>
      </c>
      <c r="J17" s="25" t="s">
        <v>1054</v>
      </c>
      <c r="K17" s="51" t="s">
        <v>2763</v>
      </c>
      <c r="L17" s="243" t="s">
        <v>1072</v>
      </c>
    </row>
    <row r="18" spans="1:12">
      <c r="A18" s="4"/>
      <c r="B18" s="110">
        <v>13</v>
      </c>
      <c r="C18" s="25" t="s">
        <v>2773</v>
      </c>
      <c r="D18" s="240" t="s">
        <v>2774</v>
      </c>
      <c r="E18" s="8"/>
      <c r="F18" s="8"/>
      <c r="G18" s="8"/>
      <c r="H18" s="22"/>
      <c r="I18" s="25" t="s">
        <v>1053</v>
      </c>
      <c r="J18" s="25" t="s">
        <v>1054</v>
      </c>
      <c r="K18" s="51" t="s">
        <v>2763</v>
      </c>
      <c r="L18" s="243" t="s">
        <v>1072</v>
      </c>
    </row>
    <row r="19" spans="1:12">
      <c r="A19" s="4"/>
      <c r="B19" s="110">
        <v>14</v>
      </c>
      <c r="C19" s="25" t="s">
        <v>545</v>
      </c>
      <c r="D19" s="240" t="s">
        <v>2775</v>
      </c>
      <c r="E19" s="21"/>
      <c r="F19" s="21"/>
      <c r="G19" s="21"/>
      <c r="H19" s="23"/>
      <c r="I19" s="25" t="s">
        <v>1053</v>
      </c>
      <c r="J19" s="25" t="s">
        <v>1054</v>
      </c>
      <c r="K19" s="51" t="s">
        <v>2763</v>
      </c>
      <c r="L19" s="244" t="s">
        <v>1072</v>
      </c>
    </row>
    <row r="20" spans="1:12">
      <c r="B20" s="110">
        <v>15</v>
      </c>
      <c r="C20" s="25" t="s">
        <v>2776</v>
      </c>
      <c r="D20" s="240" t="s">
        <v>2777</v>
      </c>
      <c r="E20" s="16"/>
      <c r="F20" s="16"/>
      <c r="G20" s="16"/>
      <c r="H20" s="56"/>
      <c r="I20" s="25" t="s">
        <v>1053</v>
      </c>
      <c r="J20" s="25" t="s">
        <v>1054</v>
      </c>
      <c r="K20" s="51" t="s">
        <v>2763</v>
      </c>
      <c r="L20" s="238" t="s">
        <v>1072</v>
      </c>
    </row>
    <row r="21" spans="1:12">
      <c r="A21" s="4"/>
      <c r="B21" s="110">
        <v>16</v>
      </c>
      <c r="C21" s="25" t="s">
        <v>2691</v>
      </c>
      <c r="D21" s="25" t="s">
        <v>2778</v>
      </c>
      <c r="E21" s="8"/>
      <c r="F21" s="8"/>
      <c r="G21" s="8"/>
      <c r="H21" s="22"/>
      <c r="I21" s="25" t="s">
        <v>1053</v>
      </c>
      <c r="J21" s="25" t="s">
        <v>1054</v>
      </c>
      <c r="K21" s="51"/>
      <c r="L21" s="52">
        <v>100.32</v>
      </c>
    </row>
    <row r="22" spans="1:12">
      <c r="A22" s="4"/>
      <c r="B22" s="110">
        <v>17</v>
      </c>
      <c r="C22" s="25" t="s">
        <v>2692</v>
      </c>
      <c r="D22" s="25" t="s">
        <v>2779</v>
      </c>
      <c r="E22" s="8"/>
      <c r="F22" s="8"/>
      <c r="G22" s="8"/>
      <c r="H22" s="22"/>
      <c r="I22" s="25" t="s">
        <v>1053</v>
      </c>
      <c r="J22" s="25" t="s">
        <v>1054</v>
      </c>
      <c r="K22" s="53"/>
      <c r="L22" s="67"/>
    </row>
    <row r="23" spans="1:12">
      <c r="A23" s="4"/>
      <c r="B23" s="110">
        <v>18</v>
      </c>
      <c r="C23" s="25" t="s">
        <v>2693</v>
      </c>
      <c r="D23" s="25" t="s">
        <v>2780</v>
      </c>
      <c r="E23" s="8"/>
      <c r="F23" s="8"/>
      <c r="G23" s="8"/>
      <c r="H23" s="22"/>
      <c r="I23" s="25" t="s">
        <v>1053</v>
      </c>
      <c r="J23" s="25" t="s">
        <v>1054</v>
      </c>
      <c r="K23" s="51"/>
      <c r="L23" s="243" t="s">
        <v>1072</v>
      </c>
    </row>
    <row r="24" spans="1:12">
      <c r="A24" s="4"/>
      <c r="B24" s="110">
        <v>19</v>
      </c>
      <c r="C24" s="25" t="s">
        <v>2694</v>
      </c>
      <c r="D24" s="25" t="s">
        <v>2781</v>
      </c>
      <c r="E24" s="8"/>
      <c r="F24" s="8"/>
      <c r="G24" s="8"/>
      <c r="H24" s="22"/>
      <c r="I24" s="25" t="s">
        <v>1053</v>
      </c>
      <c r="J24" s="25" t="s">
        <v>1054</v>
      </c>
      <c r="K24" s="51"/>
      <c r="L24" s="243" t="s">
        <v>1072</v>
      </c>
    </row>
    <row r="25" spans="1:12">
      <c r="A25" s="4"/>
      <c r="B25" s="110">
        <v>20</v>
      </c>
      <c r="C25" s="25" t="s">
        <v>2695</v>
      </c>
      <c r="D25" s="25" t="s">
        <v>2782</v>
      </c>
      <c r="E25" s="8"/>
      <c r="F25" s="8"/>
      <c r="G25" s="8"/>
      <c r="H25" s="22"/>
      <c r="I25" s="25" t="s">
        <v>1053</v>
      </c>
      <c r="J25" s="25" t="s">
        <v>1054</v>
      </c>
      <c r="K25" s="51"/>
      <c r="L25" s="243" t="s">
        <v>1072</v>
      </c>
    </row>
    <row r="26" spans="1:12">
      <c r="A26" s="4"/>
      <c r="B26" s="110">
        <v>21</v>
      </c>
      <c r="C26" s="25" t="s">
        <v>2696</v>
      </c>
      <c r="D26" s="25" t="s">
        <v>2783</v>
      </c>
      <c r="E26" s="8"/>
      <c r="F26" s="8"/>
      <c r="G26" s="8"/>
      <c r="H26" s="22"/>
      <c r="I26" s="25" t="s">
        <v>1053</v>
      </c>
      <c r="J26" s="25" t="s">
        <v>1054</v>
      </c>
      <c r="K26" s="54"/>
      <c r="L26" s="243" t="s">
        <v>1072</v>
      </c>
    </row>
    <row r="27" spans="1:12">
      <c r="A27" s="4"/>
      <c r="B27" s="110">
        <v>22</v>
      </c>
      <c r="C27" s="25" t="s">
        <v>2697</v>
      </c>
      <c r="D27" s="25" t="s">
        <v>2784</v>
      </c>
      <c r="E27" s="8"/>
      <c r="F27" s="8"/>
      <c r="G27" s="8"/>
      <c r="H27" s="22"/>
      <c r="I27" s="25" t="s">
        <v>1053</v>
      </c>
      <c r="J27" s="25" t="s">
        <v>1054</v>
      </c>
      <c r="K27" s="54"/>
      <c r="L27" s="243" t="s">
        <v>1072</v>
      </c>
    </row>
    <row r="28" spans="1:12">
      <c r="A28" s="4"/>
      <c r="B28" s="110">
        <v>23</v>
      </c>
      <c r="C28" s="25" t="s">
        <v>2698</v>
      </c>
      <c r="D28" s="25" t="s">
        <v>2785</v>
      </c>
      <c r="E28" s="8"/>
      <c r="F28" s="8"/>
      <c r="G28" s="8"/>
      <c r="H28" s="22"/>
      <c r="I28" s="25" t="s">
        <v>1053</v>
      </c>
      <c r="J28" s="25" t="s">
        <v>1054</v>
      </c>
      <c r="K28" s="54"/>
      <c r="L28" s="243" t="s">
        <v>1072</v>
      </c>
    </row>
    <row r="29" spans="1:12">
      <c r="A29" s="4"/>
      <c r="B29" s="110">
        <v>24</v>
      </c>
      <c r="C29" s="25" t="s">
        <v>2699</v>
      </c>
      <c r="D29" s="25" t="s">
        <v>2786</v>
      </c>
      <c r="E29" s="8"/>
      <c r="F29" s="8"/>
      <c r="G29" s="8"/>
      <c r="H29" s="22"/>
      <c r="I29" s="25" t="s">
        <v>1053</v>
      </c>
      <c r="J29" s="25" t="s">
        <v>1054</v>
      </c>
      <c r="K29" s="54"/>
      <c r="L29" s="243" t="s">
        <v>1072</v>
      </c>
    </row>
    <row r="30" spans="1:12">
      <c r="A30" s="4"/>
      <c r="B30" s="110">
        <v>25</v>
      </c>
      <c r="C30" s="25" t="s">
        <v>2700</v>
      </c>
      <c r="D30" s="25" t="s">
        <v>2787</v>
      </c>
      <c r="E30" s="8"/>
      <c r="F30" s="8"/>
      <c r="G30" s="8"/>
      <c r="H30" s="22"/>
      <c r="I30" s="25" t="s">
        <v>1053</v>
      </c>
      <c r="J30" s="25" t="s">
        <v>1054</v>
      </c>
      <c r="K30" s="54"/>
      <c r="L30" s="243" t="s">
        <v>1072</v>
      </c>
    </row>
    <row r="31" spans="1:12">
      <c r="A31" s="4"/>
      <c r="B31" s="110">
        <v>26</v>
      </c>
      <c r="C31" s="25" t="s">
        <v>2701</v>
      </c>
      <c r="D31" s="25" t="s">
        <v>2788</v>
      </c>
      <c r="E31" s="21"/>
      <c r="F31" s="21"/>
      <c r="G31" s="21"/>
      <c r="H31" s="23"/>
      <c r="I31" s="25" t="s">
        <v>1053</v>
      </c>
      <c r="J31" s="25" t="s">
        <v>1054</v>
      </c>
      <c r="K31" s="55"/>
      <c r="L31" s="244" t="s">
        <v>1072</v>
      </c>
    </row>
    <row r="32" spans="1:12">
      <c r="B32" s="110">
        <v>27</v>
      </c>
      <c r="C32" s="25" t="s">
        <v>2702</v>
      </c>
      <c r="D32" s="25" t="s">
        <v>2789</v>
      </c>
      <c r="E32" s="16"/>
      <c r="F32" s="16"/>
      <c r="G32" s="16"/>
      <c r="H32" s="56"/>
      <c r="I32" s="25" t="s">
        <v>1053</v>
      </c>
      <c r="J32" s="25" t="s">
        <v>1054</v>
      </c>
      <c r="K32" s="57"/>
      <c r="L32" s="238" t="s">
        <v>1072</v>
      </c>
    </row>
    <row r="33" spans="2:12">
      <c r="B33" s="110">
        <v>28</v>
      </c>
      <c r="C33" s="202" t="s">
        <v>2703</v>
      </c>
      <c r="D33" s="8" t="s">
        <v>2704</v>
      </c>
      <c r="E33" s="3"/>
      <c r="F33" s="3"/>
      <c r="G33" s="3"/>
      <c r="H33" s="3"/>
      <c r="I33" s="8" t="s">
        <v>1019</v>
      </c>
      <c r="J33" s="3"/>
      <c r="K33" s="16" t="s">
        <v>2790</v>
      </c>
      <c r="L33" s="3" t="b">
        <v>1</v>
      </c>
    </row>
    <row r="34" spans="2:12">
      <c r="B34" s="110">
        <v>29</v>
      </c>
      <c r="C34" s="25" t="s">
        <v>2791</v>
      </c>
      <c r="D34" s="245" t="s">
        <v>1239</v>
      </c>
      <c r="E34" s="16"/>
      <c r="F34" s="16"/>
      <c r="G34" s="16"/>
      <c r="H34" s="56"/>
      <c r="I34" s="25" t="s">
        <v>947</v>
      </c>
      <c r="J34" s="25">
        <v>40</v>
      </c>
      <c r="K34" s="57"/>
      <c r="L34" s="238" t="s">
        <v>1072</v>
      </c>
    </row>
    <row r="35" spans="2:12">
      <c r="B35" s="110">
        <v>30</v>
      </c>
      <c r="C35" s="20" t="s">
        <v>27</v>
      </c>
      <c r="D35" s="20" t="s">
        <v>28</v>
      </c>
      <c r="E35" s="20" t="s">
        <v>1072</v>
      </c>
      <c r="F35" s="20" t="s">
        <v>1072</v>
      </c>
      <c r="G35" s="20" t="s">
        <v>1072</v>
      </c>
      <c r="H35" s="20" t="s">
        <v>1072</v>
      </c>
      <c r="I35" s="20" t="s">
        <v>951</v>
      </c>
      <c r="J35" s="20"/>
      <c r="K35" s="30" t="s">
        <v>1511</v>
      </c>
      <c r="L35" s="44" t="s">
        <v>1072</v>
      </c>
    </row>
    <row r="36" spans="2:12">
      <c r="B36" s="110">
        <v>31</v>
      </c>
      <c r="C36" s="20" t="s">
        <v>33</v>
      </c>
      <c r="D36" s="20" t="s">
        <v>34</v>
      </c>
      <c r="E36" s="20" t="s">
        <v>1072</v>
      </c>
      <c r="F36" s="20" t="s">
        <v>1072</v>
      </c>
      <c r="G36" s="20" t="s">
        <v>1072</v>
      </c>
      <c r="H36" s="20" t="s">
        <v>1072</v>
      </c>
      <c r="I36" s="20" t="s">
        <v>947</v>
      </c>
      <c r="J36" s="20"/>
      <c r="K36" s="30" t="s">
        <v>1511</v>
      </c>
      <c r="L36" s="44" t="s">
        <v>1072</v>
      </c>
    </row>
    <row r="37" spans="2:12">
      <c r="B37" s="110">
        <v>32</v>
      </c>
      <c r="C37" s="20" t="s">
        <v>37</v>
      </c>
      <c r="D37" s="20" t="s">
        <v>38</v>
      </c>
      <c r="E37" s="20" t="s">
        <v>1072</v>
      </c>
      <c r="F37" s="20" t="s">
        <v>1072</v>
      </c>
      <c r="G37" s="20" t="s">
        <v>1072</v>
      </c>
      <c r="H37" s="20" t="s">
        <v>1072</v>
      </c>
      <c r="I37" s="20" t="s">
        <v>951</v>
      </c>
      <c r="J37" s="20"/>
      <c r="K37" s="30" t="s">
        <v>1511</v>
      </c>
      <c r="L37" s="44" t="s">
        <v>1072</v>
      </c>
    </row>
    <row r="38" spans="2:12">
      <c r="B38" s="110">
        <v>33</v>
      </c>
      <c r="C38" s="20" t="s">
        <v>43</v>
      </c>
      <c r="D38" s="20" t="s">
        <v>44</v>
      </c>
      <c r="E38" s="20" t="s">
        <v>1072</v>
      </c>
      <c r="F38" s="20" t="s">
        <v>1072</v>
      </c>
      <c r="G38" s="20" t="s">
        <v>1072</v>
      </c>
      <c r="H38" s="20" t="s">
        <v>1072</v>
      </c>
      <c r="I38" s="20" t="s">
        <v>947</v>
      </c>
      <c r="J38" s="20"/>
      <c r="K38" s="30" t="s">
        <v>1511</v>
      </c>
      <c r="L38" s="44" t="s">
        <v>1072</v>
      </c>
    </row>
  </sheetData>
  <mergeCells count="7">
    <mergeCell ref="B4:C4"/>
    <mergeCell ref="D4:J4"/>
    <mergeCell ref="D1:L1"/>
    <mergeCell ref="A2:B2"/>
    <mergeCell ref="B3:C3"/>
    <mergeCell ref="D3:G3"/>
    <mergeCell ref="H3:J3"/>
  </mergeCells>
  <phoneticPr fontId="1" type="noConversion"/>
  <hyperlinks>
    <hyperlink ref="B1" location="Index!A1" display="Index!A1" xr:uid="{7683FB8B-CDDF-4E18-9F9C-0E1891426EA7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A16E23D6777B4282398156485DB32B" ma:contentTypeVersion="12" ma:contentTypeDescription="Create a new document." ma:contentTypeScope="" ma:versionID="cd53c68f1cd17642854164519cccbfe6">
  <xsd:schema xmlns:xsd="http://www.w3.org/2001/XMLSchema" xmlns:xs="http://www.w3.org/2001/XMLSchema" xmlns:p="http://schemas.microsoft.com/office/2006/metadata/properties" xmlns:ns2="c42fec2d-7043-4b0b-97d6-8256a6a645c0" xmlns:ns3="3b36b575-20dc-42f3-bac0-88e1b89fb5d0" targetNamespace="http://schemas.microsoft.com/office/2006/metadata/properties" ma:root="true" ma:fieldsID="f2a2bafb387fdc4b0ece678c58c1bdbd" ns2:_="" ns3:_="">
    <xsd:import namespace="c42fec2d-7043-4b0b-97d6-8256a6a645c0"/>
    <xsd:import namespace="3b36b575-20dc-42f3-bac0-88e1b89fb5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2fec2d-7043-4b0b-97d6-8256a6a645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5702a04-5a8d-4e22-8fc9-754da5c8457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36b575-20dc-42f3-bac0-88e1b89fb5d0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e499756-83dc-4f6c-b90f-f1c5baf13674}" ma:internalName="TaxCatchAll" ma:showField="CatchAllData" ma:web="3b36b575-20dc-42f3-bac0-88e1b89fb5d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b36b575-20dc-42f3-bac0-88e1b89fb5d0" xsi:nil="true"/>
    <lcf76f155ced4ddcb4097134ff3c332f xmlns="c42fec2d-7043-4b0b-97d6-8256a6a645c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3CB998C-6744-47E4-AED7-340294E7E62D}"/>
</file>

<file path=customXml/itemProps2.xml><?xml version="1.0" encoding="utf-8"?>
<ds:datastoreItem xmlns:ds="http://schemas.openxmlformats.org/officeDocument/2006/customXml" ds:itemID="{8F83A112-CA61-42BB-AE05-2ED0B03603A0}"/>
</file>

<file path=customXml/itemProps3.xml><?xml version="1.0" encoding="utf-8"?>
<ds:datastoreItem xmlns:ds="http://schemas.openxmlformats.org/officeDocument/2006/customXml" ds:itemID="{E5C61A5D-CCD7-4C0E-9B9C-DD960FFA71E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백영철</dc:creator>
  <cp:keywords/>
  <dc:description/>
  <cp:lastModifiedBy>공춘식(Gong ChunSik)/AI혁신팀/SK</cp:lastModifiedBy>
  <cp:revision/>
  <dcterms:created xsi:type="dcterms:W3CDTF">2018-04-11T01:58:59Z</dcterms:created>
  <dcterms:modified xsi:type="dcterms:W3CDTF">2025-06-20T08:06:41Z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0x01010068A16E23D6777B4282398156485DB32B</vt:lpwstr>
  </property>
  <property fmtid="{D5CDD505-2E9C-101B-9397-08002B2CF9AE}" pid="3" name="MediaServiceImageTags">
    <vt:lpwstr/>
  </property>
</Properties>
</file>